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mixdog\outputs\office-live-test\xlsx\"/>
    </mc:Choice>
  </mc:AlternateContent>
  <xr:revisionPtr revIDLastSave="0" documentId="13_ncr:1_{75F02EC8-30E7-487B-B39F-D8D2C04AF1A1}" xr6:coauthVersionLast="47" xr6:coauthVersionMax="47" xr10:uidLastSave="{00000000-0000-0000-0000-000000000000}"/>
  <bookViews>
    <workbookView xWindow="1515" yWindow="1515" windowWidth="27195" windowHeight="14685" activeTab="1" xr2:uid="{21CF1E7B-40A5-4017-97EC-C52F251A3ABE}"/>
  </bookViews>
  <sheets>
    <sheet name="Inputs" sheetId="1" r:id="rId1"/>
    <sheet name="Model" sheetId="2" r:id="rId2"/>
    <sheet name="Checks" sheetId="3" r:id="rId3"/>
  </sheets>
  <definedNames>
    <definedName name="Growth">Inputs!$B$7</definedName>
    <definedName name="_xlnm.Print_Area" localSheetId="1">Model!$A$1:$I$26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/>
  <c r="C2" i="2" s="1"/>
  <c r="C4" i="2" l="1"/>
  <c r="D2" i="2"/>
  <c r="C3" i="2"/>
  <c r="C5" i="2" s="1"/>
  <c r="C6" i="2" s="1"/>
  <c r="B4" i="2"/>
  <c r="B3" i="2"/>
  <c r="B5" i="2" s="1"/>
  <c r="B6" i="2" s="1"/>
  <c r="D4" i="2" l="1"/>
  <c r="E2" i="2"/>
  <c r="D3" i="2"/>
  <c r="D5" i="2" s="1"/>
  <c r="D6" i="2" s="1"/>
  <c r="E3" i="2" l="1"/>
  <c r="F2" i="2"/>
  <c r="E4" i="2"/>
  <c r="F3" i="2" l="1"/>
  <c r="F4" i="2"/>
  <c r="G2" i="2"/>
  <c r="E5" i="2"/>
  <c r="E6" i="2" s="1"/>
  <c r="B4" i="3" l="1"/>
  <c r="G3" i="2"/>
  <c r="G4" i="2"/>
  <c r="F5" i="2"/>
  <c r="F6" i="2" s="1"/>
  <c r="G5" i="2" l="1"/>
  <c r="B3" i="3" l="1"/>
  <c r="B1" i="3" s="1"/>
  <c r="G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Bob</author>
  </authors>
  <commentList>
    <comment ref="B6" authorId="0" shapeId="0" xr:uid="{71A1DFCD-E642-4A4A-AA1B-3ECB03924CFC}">
      <text>
        <r>
          <rPr>
            <b/>
            <sz val="9"/>
            <color indexed="81"/>
            <rFont val="Tahoma"/>
            <family val="2"/>
          </rPr>
          <t>Source: 모아페이 2025 감사보고서 p.12 손익계산서 (예시)</t>
        </r>
      </text>
    </comment>
    <comment ref="B7" authorId="0" shapeId="0" xr:uid="{647D7137-3B05-44F7-861D-987B1C0E2287}">
      <text>
        <r>
          <rPr>
            <b/>
            <sz val="9"/>
            <color indexed="81"/>
            <rFont val="Tahoma"/>
            <family val="2"/>
          </rPr>
          <t>사용자 브리프 2026-09-23: 연 18% 성장 가정</t>
        </r>
      </text>
    </comment>
    <comment ref="B8" authorId="0" shapeId="0" xr:uid="{C084128B-D574-49B2-92FE-279847B45C8F}">
      <text>
        <r>
          <rPr>
            <b/>
            <sz val="9"/>
            <color indexed="81"/>
            <rFont val="Tahoma"/>
            <family val="2"/>
          </rPr>
          <t>사용자 브리프 2026-09-23: 2025년 실적 기준</t>
        </r>
      </text>
    </comment>
    <comment ref="B9" authorId="0" shapeId="0" xr:uid="{96C5AE43-D570-4987-8D6B-7909940311D2}">
      <text>
        <r>
          <rPr>
            <b/>
            <sz val="9"/>
            <color indexed="81"/>
            <rFont val="Tahoma"/>
            <family val="2"/>
          </rPr>
          <t>재무팀 검토 전 임시값 2026-09-23</t>
        </r>
      </text>
    </comment>
  </commentList>
</comments>
</file>

<file path=xl/sharedStrings.xml><?xml version="1.0" encoding="utf-8"?>
<sst xmlns="http://schemas.openxmlformats.org/spreadsheetml/2006/main" count="18" uniqueCount="18">
  <si>
    <t>파란 글자 = 입력값, 검은 글자 = 수식</t>
  </si>
  <si>
    <t>노란 칸 = 검토 후 채울 값</t>
  </si>
  <si>
    <t>단위: 억 원 (예시 가정)</t>
  </si>
  <si>
    <t>가정</t>
  </si>
  <si>
    <t>값</t>
  </si>
  <si>
    <t>2025년 매출 (억 원)</t>
  </si>
  <si>
    <t>연 매출 성장률</t>
  </si>
  <si>
    <t>매출총이익률</t>
  </si>
  <si>
    <t>판관비율</t>
  </si>
  <si>
    <t>항목 (억 원)</t>
  </si>
  <si>
    <t>매출</t>
  </si>
  <si>
    <t>매출총이익</t>
  </si>
  <si>
    <t>판관비</t>
  </si>
  <si>
    <t>영업이익</t>
  </si>
  <si>
    <t>영업이익률</t>
  </si>
  <si>
    <t>모든 검증 통과</t>
  </si>
  <si>
    <t>영업이익 = 매출총이익 − 판관비 (2030)</t>
  </si>
  <si>
    <t>2030 매출 = 2025 매출 × (1+성장률)^5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</si>
</sst>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#,##0;\(#,##0\);\-"/>
    <numFmt numFmtId="178" formatCode="0.0%;\(0.0%\);\-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6B7280"/>
      <name val="맑은 고딕"/>
      <family val="2"/>
      <charset val="129"/>
      <scheme val="minor"/>
    </font>
    <font>
      <sz val="9"/>
      <color rgb="FF6B728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11"/>
      <color rgb="FF008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F2F7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C9CED6"/>
      </bottom>
      <diagonal/>
    </border>
    <border>
      <left/>
      <right/>
      <top style="thin">
        <color rgb="FF0A2540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>
      <alignment vertical="center"/>
    </xf>
    <xf numFmtId="3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5" fillId="3" borderId="0" xfId="0" applyNumberFormat="1" applyFont="1" applyFill="1">
      <alignment vertical="center"/>
    </xf>
    <xf numFmtId="0" fontId="4" fillId="2" borderId="1" xfId="0" applyFont="1" applyFill="1" applyBorder="1" applyAlignment="1">
      <alignment horizontal="right" vertical="center"/>
    </xf>
    <xf numFmtId="177" fontId="0" fillId="0" borderId="0" xfId="0" applyNumberFormat="1">
      <alignment vertical="center"/>
    </xf>
    <xf numFmtId="177" fontId="7" fillId="0" borderId="0" xfId="0" applyNumberFormat="1" applyFont="1">
      <alignment vertical="center"/>
    </xf>
    <xf numFmtId="178" fontId="0" fillId="0" borderId="0" xfId="0" applyNumberFormat="1">
      <alignment vertical="center"/>
    </xf>
    <xf numFmtId="0" fontId="4" fillId="0" borderId="2" xfId="0" applyFont="1" applyBorder="1">
      <alignment vertical="center"/>
    </xf>
    <xf numFmtId="177" fontId="4" fillId="0" borderId="2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매출 전망 </a:t>
            </a:r>
            <a:r>
              <a:rPr lang="en-US" altLang="ko-KR"/>
              <a:t>(</a:t>
            </a:r>
            <a:r>
              <a:rPr lang="ko-KR" altLang="en-US"/>
              <a:t>억 원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매출</c:v>
          </c:tx>
          <c:spPr>
            <a:solidFill>
              <a:srgbClr val="2F6DB5"/>
            </a:solidFill>
            <a:ln>
              <a:solidFill>
                <a:srgbClr val="2F6DB5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Model!$B$1:$G$1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Model!$B$2:$G$2</c:f>
              <c:numCache>
                <c:formatCode>#,##0;\(#,##0\);\-</c:formatCode>
                <c:ptCount val="6"/>
                <c:pt idx="0">
                  <c:v>7340</c:v>
                </c:pt>
                <c:pt idx="1">
                  <c:v>8661.1999999999989</c:v>
                </c:pt>
                <c:pt idx="2">
                  <c:v>10220.215999999999</c:v>
                </c:pt>
                <c:pt idx="3">
                  <c:v>12059.854879999997</c:v>
                </c:pt>
                <c:pt idx="4">
                  <c:v>14230.628758399997</c:v>
                </c:pt>
                <c:pt idx="5">
                  <c:v>16792.141934911993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CD-441E-B472-057050516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27"/>
        <c:axId val="1436541007"/>
        <c:axId val="265666383"/>
      </c:barChart>
      <c:catAx>
        <c:axId val="143654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65666383"/>
        <c:crosses val="autoZero"/>
        <c:auto val="0"/>
        <c:lblAlgn val="ctr"/>
        <c:lblOffset val="100"/>
        <c:noMultiLvlLbl val="0"/>
      </c:catAx>
      <c:valAx>
        <c:axId val="26566638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36541007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7</xdr:col>
      <xdr:colOff>79375</xdr:colOff>
      <xdr:row>22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0F40751-2DFF-50A1-FC11-15CC8641A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17FF2-728F-40C1-A03C-06487826DD13}">
  <dimension ref="A1:B9"/>
  <sheetViews>
    <sheetView workbookViewId="0"/>
  </sheetViews>
  <sheetFormatPr defaultRowHeight="16.5" x14ac:dyDescent="0.3"/>
  <cols>
    <col min="1" max="1" width="28.75" bestFit="1" customWidth="1"/>
    <col min="2" max="2" width="10.625" customWidth="1"/>
  </cols>
  <sheetData>
    <row r="1" spans="1:2" x14ac:dyDescent="0.3">
      <c r="A1" s="1" t="s">
        <v>0</v>
      </c>
    </row>
    <row r="2" spans="1:2" x14ac:dyDescent="0.3">
      <c r="A2" s="2" t="s">
        <v>1</v>
      </c>
    </row>
    <row r="3" spans="1:2" x14ac:dyDescent="0.3">
      <c r="A3" s="2" t="s">
        <v>2</v>
      </c>
    </row>
    <row r="5" spans="1:2" x14ac:dyDescent="0.3">
      <c r="A5" s="4" t="s">
        <v>3</v>
      </c>
      <c r="B5" s="4" t="s">
        <v>4</v>
      </c>
    </row>
    <row r="6" spans="1:2" x14ac:dyDescent="0.3">
      <c r="A6" t="s">
        <v>5</v>
      </c>
      <c r="B6" s="5">
        <v>7340</v>
      </c>
    </row>
    <row r="7" spans="1:2" x14ac:dyDescent="0.3">
      <c r="A7" t="s">
        <v>6</v>
      </c>
      <c r="B7" s="6">
        <v>0.18</v>
      </c>
    </row>
    <row r="8" spans="1:2" x14ac:dyDescent="0.3">
      <c r="A8" t="s">
        <v>7</v>
      </c>
      <c r="B8" s="6">
        <v>0.62</v>
      </c>
    </row>
    <row r="9" spans="1:2" x14ac:dyDescent="0.3">
      <c r="A9" t="s">
        <v>8</v>
      </c>
      <c r="B9" s="7">
        <v>0.47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8BA61-2976-4BFF-AB74-71F378E6D2B8}">
  <sheetPr>
    <pageSetUpPr fitToPage="1"/>
  </sheetPr>
  <dimension ref="A1:G6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6.5" x14ac:dyDescent="0.3"/>
  <cols>
    <col min="1" max="1" width="11.875" bestFit="1" customWidth="1"/>
    <col min="2" max="7" width="10.625" customWidth="1"/>
  </cols>
  <sheetData>
    <row r="1" spans="1:7" x14ac:dyDescent="0.3">
      <c r="A1" s="4" t="s">
        <v>9</v>
      </c>
      <c r="B1" s="8">
        <v>2025</v>
      </c>
      <c r="C1" s="8">
        <v>2026</v>
      </c>
      <c r="D1" s="8">
        <v>2027</v>
      </c>
      <c r="E1" s="8">
        <v>2028</v>
      </c>
      <c r="F1" s="8">
        <v>2029</v>
      </c>
      <c r="G1" s="8">
        <v>2030</v>
      </c>
    </row>
    <row r="2" spans="1:7" x14ac:dyDescent="0.3">
      <c r="A2" t="s">
        <v>10</v>
      </c>
      <c r="B2" s="10">
        <f>Inputs!B6</f>
        <v>7340</v>
      </c>
      <c r="C2" s="9">
        <f>B2*(1+Growth)</f>
        <v>8661.1999999999989</v>
      </c>
      <c r="D2" s="9">
        <f>C2*(1+Growth)</f>
        <v>10220.215999999999</v>
      </c>
      <c r="E2" s="9">
        <f>D2*(1+Growth)</f>
        <v>12059.854879999997</v>
      </c>
      <c r="F2" s="9">
        <f>E2*(1+Growth)</f>
        <v>14230.628758399997</v>
      </c>
      <c r="G2" s="9">
        <f>F2*(1+Growth)</f>
        <v>16792.141934911993</v>
      </c>
    </row>
    <row r="3" spans="1:7" x14ac:dyDescent="0.3">
      <c r="A3" t="s">
        <v>11</v>
      </c>
      <c r="B3" s="9">
        <f>B2*Inputs!$B$8</f>
        <v>4550.8</v>
      </c>
      <c r="C3" s="9">
        <f>C2*Inputs!$B$8</f>
        <v>5369.9439999999995</v>
      </c>
      <c r="D3" s="9">
        <f>D2*Inputs!$B$8</f>
        <v>6336.5339199999989</v>
      </c>
      <c r="E3" s="9">
        <f>E2*Inputs!$B$8</f>
        <v>7477.1100255999982</v>
      </c>
      <c r="F3" s="9">
        <f>F2*Inputs!$B$8</f>
        <v>8822.9898302079982</v>
      </c>
      <c r="G3" s="9">
        <f>G2*Inputs!$B$8</f>
        <v>10411.127999645436</v>
      </c>
    </row>
    <row r="4" spans="1:7" x14ac:dyDescent="0.3">
      <c r="A4" t="s">
        <v>12</v>
      </c>
      <c r="B4" s="9">
        <f>B2*Inputs!$B$9</f>
        <v>3449.7999999999997</v>
      </c>
      <c r="C4" s="9">
        <f>C2*Inputs!$B$9</f>
        <v>4070.7639999999992</v>
      </c>
      <c r="D4" s="9">
        <f>D2*Inputs!$B$9</f>
        <v>4803.5015199999989</v>
      </c>
      <c r="E4" s="9">
        <f>E2*Inputs!$B$9</f>
        <v>5668.1317935999987</v>
      </c>
      <c r="F4" s="9">
        <f>F2*Inputs!$B$9</f>
        <v>6688.3955164479976</v>
      </c>
      <c r="G4" s="9">
        <f>G2*Inputs!$B$9</f>
        <v>7892.3067094086364</v>
      </c>
    </row>
    <row r="5" spans="1:7" x14ac:dyDescent="0.3">
      <c r="A5" s="12" t="s">
        <v>13</v>
      </c>
      <c r="B5" s="13">
        <f>B3-B4</f>
        <v>1101.0000000000005</v>
      </c>
      <c r="C5" s="13">
        <f>C3-C4</f>
        <v>1299.1800000000003</v>
      </c>
      <c r="D5" s="13">
        <f>D3-D4</f>
        <v>1533.0324000000001</v>
      </c>
      <c r="E5" s="13">
        <f>E3-E4</f>
        <v>1808.9782319999995</v>
      </c>
      <c r="F5" s="13">
        <f>F3-F4</f>
        <v>2134.5943137600007</v>
      </c>
      <c r="G5" s="13">
        <f>G3-G4</f>
        <v>2518.8212902367995</v>
      </c>
    </row>
    <row r="6" spans="1:7" x14ac:dyDescent="0.3">
      <c r="A6" t="s">
        <v>14</v>
      </c>
      <c r="B6" s="11">
        <f>IFERROR(B5/B2,0)</f>
        <v>0.15000000000000005</v>
      </c>
      <c r="C6" s="11">
        <f>IFERROR(C5/C2,0)</f>
        <v>0.15000000000000005</v>
      </c>
      <c r="D6" s="11">
        <f>IFERROR(D5/D2,0)</f>
        <v>0.15000000000000002</v>
      </c>
      <c r="E6" s="11">
        <f>IFERROR(E5/E2,0)</f>
        <v>0.15</v>
      </c>
      <c r="F6" s="11">
        <f>IFERROR(F5/F2,0)</f>
        <v>0.15000000000000008</v>
      </c>
      <c r="G6" s="11">
        <f>IFERROR(G5/G2,0)</f>
        <v>0.15000000000000002</v>
      </c>
    </row>
  </sheetData>
  <phoneticPr fontId="1" type="noConversion"/>
  <pageMargins left="0.7" right="0.7" top="0.75" bottom="0.75" header="0.3" footer="0.3"/>
  <pageSetup paperSize="9" fitToHeight="0" orientation="landscape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34117-2E3C-44F0-AF9A-1AE30807F47B}">
  <dimension ref="A1:B4"/>
  <sheetViews>
    <sheetView workbookViewId="0"/>
  </sheetViews>
  <sheetFormatPr defaultRowHeight="16.5" x14ac:dyDescent="0.3"/>
  <cols>
    <col min="1" max="1" width="37.875" bestFit="1" customWidth="1"/>
    <col min="2" max="2" width="10.625" customWidth="1"/>
  </cols>
  <sheetData>
    <row r="1" spans="1:2" x14ac:dyDescent="0.3">
      <c r="A1" s="3" t="s">
        <v>15</v>
      </c>
      <c r="B1" s="3" t="b">
        <f>AND(B3:B4)</f>
        <v>1</v>
      </c>
    </row>
    <row r="3" spans="1:2" x14ac:dyDescent="0.3">
      <c r="A3" t="s">
        <v>16</v>
      </c>
      <c r="B3" t="b">
        <f>ROUND(Model!G5-(Model!G3-Model!G4),2)=0</f>
        <v>1</v>
      </c>
    </row>
    <row r="4" spans="1:2" x14ac:dyDescent="0.3">
      <c r="A4" t="s">
        <v>17</v>
      </c>
      <c r="B4" t="b">
        <f>ROUND(Model!G2-Model!B2*(1+Growth)^5,2)=0</f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Inputs</vt:lpstr>
      <vt:lpstr>Model</vt:lpstr>
      <vt:lpstr>Checks</vt:lpstr>
      <vt:lpstr>Growth</vt:lpstr>
      <vt:lpstr>Model!Print_Area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</dc:creator>
  <cp:lastModifiedBy>Bob</cp:lastModifiedBy>
  <dcterms:created xsi:type="dcterms:W3CDTF">2026-09-23T11:36:18Z</dcterms:created>
  <dcterms:modified xsi:type="dcterms:W3CDTF">2026-09-23T11:36:21Z</dcterms:modified>
</cp:coreProperties>
</file>