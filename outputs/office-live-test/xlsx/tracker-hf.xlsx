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프로젝트 현황" sheetId="1" state="visible" r:id="rId3"/>
  </sheets>
  <definedNames>
    <definedName function="false" hidden="false" localSheetId="0" name="_xlnm.Print_Area" vbProcedure="false">'프로젝트 현황'!$A$1:$J$33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G4" authorId="0">
      <text>
        <r>
          <rPr>
            <sz val="10"/>
            <rFont val="맑은 고딕"/>
            <family val="2"/>
          </rPr>
          <t xml:space="preserve">출처: 팀별 주간 타임시트 합계 (예시 수치)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3</xdr:row>
                <xdr:rowOff>2</xdr:rowOff>
              </xdr:from>
              <xdr:to>
                <xdr:col>9</xdr:col>
                <xdr:colOff>15</xdr:colOff>
                <xdr:row>6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<sst xmlns="http://schemas.openxmlformats.org/spreadsheetml/2006/main" count="27" uniqueCount="27">
  <si>
    <r>
      <rPr>
        <b val="true"/>
        <sz val="16"/>
        <color rgb="FF1F2A44"/>
        <rFont val="Calibri"/>
        <family val="2"/>
        <charset val="1"/>
      </rPr>
      <t xml:space="preserve">2026</t>
    </r>
    <r>
      <rPr>
        <b val="true"/>
        <sz val="16"/>
        <color rgb="FF1F2A44"/>
        <rFont val="맑은 고딕"/>
        <family val="2"/>
      </rPr>
      <t xml:space="preserve">년 </t>
    </r>
    <r>
      <rPr>
        <b val="true"/>
        <sz val="16"/>
        <color rgb="FF1F2A44"/>
        <rFont val="Calibri"/>
        <family val="2"/>
        <charset val="1"/>
      </rPr>
      <t xml:space="preserve">3</t>
    </r>
    <r>
      <rPr>
        <b val="true"/>
        <sz val="16"/>
        <color rgb="FF1F2A44"/>
        <rFont val="맑은 고딕"/>
        <family val="2"/>
      </rPr>
      <t xml:space="preserve">분기 프로젝트 현황</t>
    </r>
  </si>
  <si>
    <r>
      <rPr>
        <sz val="9"/>
        <color rgb="FF6B7280"/>
        <rFont val="Calibri"/>
        <family val="2"/>
        <charset val="1"/>
      </rPr>
      <t xml:space="preserve">2026-09-22 </t>
    </r>
    <r>
      <rPr>
        <sz val="9"/>
        <color rgb="FF6B7280"/>
        <rFont val="맑은 고딕"/>
        <family val="2"/>
      </rPr>
      <t xml:space="preserve">기준 </t>
    </r>
    <r>
      <rPr>
        <sz val="9"/>
        <color rgb="FF6B7280"/>
        <rFont val="Calibri"/>
        <family val="2"/>
        <charset val="1"/>
      </rPr>
      <t xml:space="preserve">· </t>
    </r>
    <r>
      <rPr>
        <sz val="9"/>
        <color rgb="FF6B7280"/>
        <rFont val="맑은 고딕"/>
        <family val="2"/>
      </rPr>
      <t xml:space="preserve">진행률은 완료된 작업 비율</t>
    </r>
    <r>
      <rPr>
        <sz val="9"/>
        <color rgb="FF6B7280"/>
        <rFont val="Calibri"/>
        <family val="2"/>
        <charset val="1"/>
      </rPr>
      <t xml:space="preserve">, </t>
    </r>
    <r>
      <rPr>
        <sz val="9"/>
        <color rgb="FF6B7280"/>
        <rFont val="맑은 고딕"/>
        <family val="2"/>
      </rPr>
      <t xml:space="preserve">위험도는 </t>
    </r>
    <r>
      <rPr>
        <sz val="9"/>
        <color rgb="FF6B7280"/>
        <rFont val="Calibri"/>
        <family val="2"/>
        <charset val="1"/>
      </rPr>
      <t xml:space="preserve">1(</t>
    </r>
    <r>
      <rPr>
        <sz val="9"/>
        <color rgb="FF6B7280"/>
        <rFont val="맑은 고딕"/>
        <family val="2"/>
      </rPr>
      <t xml:space="preserve">낮음</t>
    </r>
    <r>
      <rPr>
        <sz val="9"/>
        <color rgb="FF6B7280"/>
        <rFont val="Calibri"/>
        <family val="2"/>
        <charset val="1"/>
      </rPr>
      <t xml:space="preserve">)~10(</t>
    </r>
    <r>
      <rPr>
        <sz val="9"/>
        <color rgb="FF6B7280"/>
        <rFont val="맑은 고딕"/>
        <family val="2"/>
      </rPr>
      <t xml:space="preserve">높음</t>
    </r>
    <r>
      <rPr>
        <sz val="9"/>
        <color rgb="FF6B7280"/>
        <rFont val="Calibri"/>
        <family val="2"/>
        <charset val="1"/>
      </rPr>
      <t xml:space="preserve">)</t>
    </r>
  </si>
  <si>
    <t xml:space="preserve">프로젝트</t>
  </si>
  <si>
    <t xml:space="preserve">담당</t>
  </si>
  <si>
    <t xml:space="preserve">시작</t>
  </si>
  <si>
    <t xml:space="preserve">마감</t>
  </si>
  <si>
    <t xml:space="preserve">진행률</t>
  </si>
  <si>
    <t xml:space="preserve">위험도</t>
  </si>
  <si>
    <t xml:space="preserve">완료 시간</t>
  </si>
  <si>
    <t xml:space="preserve">남은 시간</t>
  </si>
  <si>
    <t xml:space="preserve">총 시간</t>
  </si>
  <si>
    <t xml:space="preserve">남은 일수</t>
  </si>
  <si>
    <t xml:space="preserve">결제 리뉴얼</t>
  </si>
  <si>
    <t xml:space="preserve">결제팀</t>
  </si>
  <si>
    <r>
      <rPr>
        <sz val="11"/>
        <color rgb="FF000000"/>
        <rFont val="맑은 고딕"/>
        <family val="2"/>
      </rPr>
      <t xml:space="preserve">대출 비교 </t>
    </r>
    <r>
      <rPr>
        <sz val="11"/>
        <color rgb="FF000000"/>
        <rFont val="Calibri"/>
        <family val="2"/>
        <charset val="1"/>
      </rPr>
      <t xml:space="preserve">2.0</t>
    </r>
  </si>
  <si>
    <t xml:space="preserve">대출팀</t>
  </si>
  <si>
    <t xml:space="preserve">해외 송금 확장</t>
  </si>
  <si>
    <t xml:space="preserve">송금팀</t>
  </si>
  <si>
    <t xml:space="preserve">앱 온보딩 개선</t>
  </si>
  <si>
    <t xml:space="preserve">그로스팀</t>
  </si>
  <si>
    <t xml:space="preserve">사기 탐지 모델</t>
  </si>
  <si>
    <t xml:space="preserve">리스크팀</t>
  </si>
  <si>
    <t xml:space="preserve">고객센터 챗봇</t>
  </si>
  <si>
    <r>
      <rPr>
        <sz val="11"/>
        <color rgb="FF000000"/>
        <rFont val="Calibri"/>
        <family val="2"/>
        <charset val="1"/>
      </rPr>
      <t xml:space="preserve">CX</t>
    </r>
    <r>
      <rPr>
        <sz val="11"/>
        <color rgb="FF000000"/>
        <rFont val="맑은 고딕"/>
        <family val="2"/>
      </rPr>
      <t xml:space="preserve">팀</t>
    </r>
  </si>
  <si>
    <t xml:space="preserve">투자 상품 추가</t>
  </si>
  <si>
    <t xml:space="preserve">투자팀</t>
  </si>
  <si>
    <t xml:space="preserve">합계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</si>
</sst>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%"/>
    <numFmt numFmtId="167" formatCode="#,##0"/>
  </numFmts>
  <fonts count="17">
    <font>
      <sz val="11"/>
      <color rgb="FF000000"/>
      <name val="Calibri"/>
      <family val="2"/>
    </font>
    <font>
      <sz val="10"/>
      <name val="Calibri"/>
      <family val="0"/>
    </font>
    <font>
      <sz val="10"/>
      <name val="Calibri"/>
      <family val="0"/>
    </font>
    <font>
      <sz val="10"/>
      <name val="Calibri"/>
      <family val="0"/>
    </font>
    <font>
      <b val="true"/>
      <sz val="16"/>
      <color rgb="FF1F2A44"/>
      <name val="Calibri"/>
      <family val="2"/>
      <charset val="1"/>
    </font>
    <font>
      <b val="true"/>
      <sz val="16"/>
      <color rgb="FF1F2A44"/>
      <name val="맑은 고딕"/>
      <family val="2"/>
    </font>
    <font>
      <sz val="9"/>
      <color rgb="FF6B7280"/>
      <name val="Calibri"/>
      <family val="2"/>
      <charset val="1"/>
    </font>
    <font>
      <sz val="9"/>
      <color rgb="FF6B7280"/>
      <name val="맑은 고딕"/>
      <family val="2"/>
    </font>
    <font>
      <b val="true"/>
      <sz val="11"/>
      <color rgb="FFFFFFFF"/>
      <name val="맑은 고딕"/>
      <family val="2"/>
    </font>
    <font>
      <sz val="11"/>
      <color rgb="FF000000"/>
      <name val="Calibri"/>
      <family val="2"/>
      <charset val="1"/>
    </font>
    <font>
      <b val="true"/>
      <sz val="11"/>
      <color rgb="FF000000"/>
      <name val="맑은 고딕"/>
      <family val="2"/>
    </font>
    <font>
      <b val="true"/>
      <sz val="11"/>
      <color rgb="FF000000"/>
      <name val="Calibri"/>
      <family val="2"/>
      <charset val="1"/>
    </font>
    <font>
      <sz val="10"/>
      <name val="맑은 고딕"/>
      <family val="2"/>
    </font>
    <font>
      <b val="true"/>
      <sz val="12"/>
      <color rgb="FF171717"/>
      <name val="맑은 고딕"/>
      <family val="2"/>
    </font>
    <font>
      <b val="true"/>
      <sz val="12"/>
      <color rgb="FF171717"/>
      <name val="Arial"/>
      <family val="2"/>
    </font>
    <font>
      <sz val="9"/>
      <color rgb="FF5F6368"/>
      <name val="맑은 고딕"/>
      <family val="2"/>
    </font>
    <font>
      <sz val="9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17171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rgb="FF1F2A4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BD1"/>
      <rgbColor rgb="FF5F6368"/>
      <rgbColor rgb="FF9999FF"/>
      <rgbColor rgb="FF993366"/>
      <rgbColor rgb="FFFFFFCC"/>
      <rgbColor rgb="FFE7E9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B6CE"/>
      <rgbColor rgb="FFFF99CC"/>
      <rgbColor rgb="FFCC99FF"/>
      <rgbColor rgb="FFFFCC99"/>
      <rgbColor rgb="FF2F6DB5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71717"/>
                </a:solidFill>
                <a:uFillTx/>
                <a:latin typeface="Arial"/>
              </a:rPr>
              <a:t>프로젝트별 시간: 완료 대 남은 시간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'프로젝트 현황'!$G$4</c:f>
              <c:strCache>
                <c:ptCount val="1"/>
                <c:pt idx="0">
                  <c:v>완료 시간</c:v>
                </c:pt>
              </c:strCache>
            </c:strRef>
          </c:tx>
          <c:spPr>
            <a:solidFill>
              <a:srgbClr val="2F6DB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'프로젝트 현황'!$A$5:$A$11</c:f>
              <c:strCache>
                <c:ptCount val="7"/>
                <c:pt idx="0">
                  <c:v>결제 리뉴얼</c:v>
                </c:pt>
                <c:pt idx="1">
                  <c:v>대출 비교 2.0</c:v>
                </c:pt>
                <c:pt idx="2">
                  <c:v>해외 송금 확장</c:v>
                </c:pt>
                <c:pt idx="3">
                  <c:v>앱 온보딩 개선</c:v>
                </c:pt>
                <c:pt idx="4">
                  <c:v>사기 탐지 모델</c:v>
                </c:pt>
                <c:pt idx="5">
                  <c:v>고객센터 챗봇</c:v>
                </c:pt>
                <c:pt idx="6">
                  <c:v>투자 상품 추가</c:v>
                </c:pt>
              </c:strCache>
            </c:strRef>
          </c:cat>
          <c:val>
            <c:numRef>
              <c:f>'프로젝트 현황'!$G$5:$G$11</c:f>
              <c:numCache>
                <c:formatCode>#,##0</c:formatCode>
                <c:ptCount val="7"/>
                <c:pt idx="0">
                  <c:v>120</c:v>
                </c:pt>
                <c:pt idx="1">
                  <c:v>90</c:v>
                </c:pt>
                <c:pt idx="2">
                  <c:v>60</c:v>
                </c:pt>
                <c:pt idx="3">
                  <c:v>80</c:v>
                </c:pt>
                <c:pt idx="4">
                  <c:v>70</c:v>
                </c:pt>
                <c:pt idx="5">
                  <c:v>50</c:v>
                </c:pt>
                <c:pt idx="6">
                  <c:v>30</c:v>
                </c:pt>
              </c:numCache>
            </c:numRef>
          </c:val>
        </c:ser>
        <c:ser>
          <c:idx val="1"/>
          <c:order val="1"/>
          <c:tx>
            <c:strRef>
              <c:f>'프로젝트 현황'!$H$4</c:f>
              <c:strCache>
                <c:ptCount val="1"/>
                <c:pt idx="0">
                  <c:v>남은 시간</c:v>
                </c:pt>
              </c:strCache>
            </c:strRef>
          </c:tx>
          <c:spPr>
            <a:solidFill>
              <a:srgbClr val="9FB6CE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'프로젝트 현황'!$A$5:$A$11</c:f>
              <c:strCache>
                <c:ptCount val="7"/>
                <c:pt idx="0">
                  <c:v>결제 리뉴얼</c:v>
                </c:pt>
                <c:pt idx="1">
                  <c:v>대출 비교 2.0</c:v>
                </c:pt>
                <c:pt idx="2">
                  <c:v>해외 송금 확장</c:v>
                </c:pt>
                <c:pt idx="3">
                  <c:v>앱 온보딩 개선</c:v>
                </c:pt>
                <c:pt idx="4">
                  <c:v>사기 탐지 모델</c:v>
                </c:pt>
                <c:pt idx="5">
                  <c:v>고객센터 챗봇</c:v>
                </c:pt>
                <c:pt idx="6">
                  <c:v>투자 상품 추가</c:v>
                </c:pt>
              </c:strCache>
            </c:strRef>
          </c:cat>
          <c:val>
            <c:numRef>
              <c:f>'프로젝트 현황'!$H$5:$H$11</c:f>
              <c:numCache>
                <c:formatCode>#,##0</c:formatCode>
                <c:ptCount val="7"/>
                <c:pt idx="0">
                  <c:v>40</c:v>
                </c:pt>
                <c:pt idx="1">
                  <c:v>70</c:v>
                </c:pt>
                <c:pt idx="2">
                  <c:v>110</c:v>
                </c:pt>
                <c:pt idx="3">
                  <c:v>0</c:v>
                </c:pt>
                <c:pt idx="4">
                  <c:v>95</c:v>
                </c:pt>
                <c:pt idx="5">
                  <c:v>30</c:v>
                </c:pt>
                <c:pt idx="6">
                  <c:v>140</c:v>
                </c:pt>
              </c:numCache>
            </c:numRef>
          </c:val>
        </c:ser>
        <c:gapWidth val="60"/>
        <c:overlap val="100"/>
        <c:axId val="18122471"/>
        <c:axId val="1227690"/>
      </c:barChart>
      <c:catAx>
        <c:axId val="18122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7CBD1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1227690"/>
        <c:crosses val="autoZero"/>
        <c:auto val="1"/>
        <c:lblAlgn val="ctr"/>
        <c:lblOffset val="100"/>
        <c:noMultiLvlLbl val="0"/>
      </c:catAx>
      <c:valAx>
        <c:axId val="122769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9EC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181224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9</xdr:col>
      <xdr:colOff>684000</xdr:colOff>
      <xdr:row>31</xdr:row>
      <xdr:rowOff>63000</xdr:rowOff>
    </xdr:to>
    <xdr:graphicFrame>
      <xdr:nvGraphicFramePr>
        <xdr:cNvPr id="1" name="Chart 1"/>
        <xdr:cNvGraphicFramePr/>
      </xdr:nvGraphicFramePr>
      <xdr:xfrm>
        <a:off x="0" y="2795760"/>
        <a:ext cx="7873560" cy="3301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1" hidden="false" outlineLevel="0" max="1" min="1" style="0" width="18"/>
    <col collapsed="false" customWidth="1" hidden="false" outlineLevel="0" max="2" min="2" style="0" width="10"/>
    <col collapsed="false" customWidth="1" hidden="false" outlineLevel="0" max="3" min="3" style="0" width="12"/>
    <col collapsed="false" customWidth="1" hidden="false" outlineLevel="0" max="4" min="4" style="0" width="12"/>
    <col collapsed="false" customWidth="1" hidden="false" outlineLevel="0" max="5" min="5" style="0" width="10"/>
    <col collapsed="false" customWidth="1" hidden="false" outlineLevel="0" max="6" min="6" style="0" width="10"/>
    <col collapsed="false" customWidth="1" hidden="false" outlineLevel="0" max="7" min="7" style="0" width="10"/>
    <col collapsed="false" customWidth="1" hidden="false" outlineLevel="0" max="8" min="8" style="0" width="10"/>
    <col collapsed="false" customWidth="1" hidden="false" outlineLevel="0" max="9" min="9" style="0" width="10"/>
    <col collapsed="false" customWidth="1" hidden="false" outlineLevel="0" max="10" min="10" style="0" width="10"/>
  </cols>
  <sheetData>
    <row r="1" customFormat="false" ht="22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12</v>
      </c>
      <c r="B5" s="5" t="s">
        <v>13</v>
      </c>
      <c r="C5" s="6" t="n">
        <v>46204</v>
      </c>
      <c r="D5" s="6" t="n">
        <v>46295</v>
      </c>
      <c r="E5" s="7" t="n">
        <v>0.82</v>
      </c>
      <c r="F5" s="8" t="n">
        <v>3</v>
      </c>
      <c r="G5" s="9" t="n">
        <v>120</v>
      </c>
      <c r="H5" s="9" t="n">
        <v>40</v>
      </c>
      <c r="I5" s="9" t="n">
        <f aca="false">G5+H5</f>
        <v>160</v>
      </c>
      <c r="J5" s="9" t="n">
        <f aca="false">MAX(0,D5-DATE(2026,9,22))</f>
        <v>8</v>
      </c>
    </row>
    <row r="6" customFormat="false" ht="16.4" hidden="false" customHeight="false" outlineLevel="0" collapsed="false">
      <c r="A6" s="5" t="s">
        <v>14</v>
      </c>
      <c r="B6" s="5" t="s">
        <v>15</v>
      </c>
      <c r="C6" s="6" t="n">
        <v>46218</v>
      </c>
      <c r="D6" s="6" t="n">
        <v>46326</v>
      </c>
      <c r="E6" s="7" t="n">
        <v>0.55</v>
      </c>
      <c r="F6" s="8" t="n">
        <v>6</v>
      </c>
      <c r="G6" s="9" t="n">
        <v>90</v>
      </c>
      <c r="H6" s="9" t="n">
        <v>70</v>
      </c>
      <c r="I6" s="9" t="n">
        <f aca="false">G6+H6</f>
        <v>160</v>
      </c>
      <c r="J6" s="9" t="n">
        <f aca="false">MAX(0,D6-DATE(2026,9,22))</f>
        <v>39</v>
      </c>
    </row>
    <row r="7" customFormat="false" ht="15" hidden="false" customHeight="false" outlineLevel="0" collapsed="false">
      <c r="A7" s="5" t="s">
        <v>16</v>
      </c>
      <c r="B7" s="5" t="s">
        <v>17</v>
      </c>
      <c r="C7" s="6" t="n">
        <v>46235</v>
      </c>
      <c r="D7" s="6" t="n">
        <v>46371</v>
      </c>
      <c r="E7" s="7" t="n">
        <v>0.31</v>
      </c>
      <c r="F7" s="8" t="n">
        <v>8</v>
      </c>
      <c r="G7" s="9" t="n">
        <v>60</v>
      </c>
      <c r="H7" s="9" t="n">
        <v>110</v>
      </c>
      <c r="I7" s="9" t="n">
        <f aca="false">G7+H7</f>
        <v>170</v>
      </c>
      <c r="J7" s="9" t="n">
        <f aca="false">MAX(0,D7-DATE(2026,9,22))</f>
        <v>84</v>
      </c>
    </row>
    <row r="8" customFormat="false" ht="15" hidden="false" customHeight="false" outlineLevel="0" collapsed="false">
      <c r="A8" s="5" t="s">
        <v>18</v>
      </c>
      <c r="B8" s="5" t="s">
        <v>19</v>
      </c>
      <c r="C8" s="6" t="n">
        <v>46174</v>
      </c>
      <c r="D8" s="6" t="n">
        <v>46265</v>
      </c>
      <c r="E8" s="7" t="n">
        <v>1</v>
      </c>
      <c r="F8" s="8" t="n">
        <v>1</v>
      </c>
      <c r="G8" s="9" t="n">
        <v>80</v>
      </c>
      <c r="H8" s="9" t="n">
        <v>0</v>
      </c>
      <c r="I8" s="9" t="n">
        <f aca="false">G8+H8</f>
        <v>80</v>
      </c>
      <c r="J8" s="9" t="n">
        <f aca="false">MAX(0,D8-DATE(2026,9,22))</f>
        <v>0</v>
      </c>
    </row>
    <row r="9" customFormat="false" ht="15" hidden="false" customHeight="false" outlineLevel="0" collapsed="false">
      <c r="A9" s="5" t="s">
        <v>20</v>
      </c>
      <c r="B9" s="5" t="s">
        <v>21</v>
      </c>
      <c r="C9" s="6" t="n">
        <v>46204</v>
      </c>
      <c r="D9" s="6" t="n">
        <v>46356</v>
      </c>
      <c r="E9" s="7" t="n">
        <v>0.47</v>
      </c>
      <c r="F9" s="8" t="n">
        <v>7</v>
      </c>
      <c r="G9" s="9" t="n">
        <v>70</v>
      </c>
      <c r="H9" s="9" t="n">
        <v>95</v>
      </c>
      <c r="I9" s="9" t="n">
        <f aca="false">G9+H9</f>
        <v>165</v>
      </c>
      <c r="J9" s="9" t="n">
        <f aca="false">MAX(0,D9-DATE(2026,9,22))</f>
        <v>69</v>
      </c>
    </row>
    <row r="10" customFormat="false" ht="16.4" hidden="false" customHeight="false" outlineLevel="0" collapsed="false">
      <c r="A10" s="5" t="s">
        <v>22</v>
      </c>
      <c r="B10" s="10" t="s">
        <v>23</v>
      </c>
      <c r="C10" s="6" t="n">
        <v>46249</v>
      </c>
      <c r="D10" s="6" t="n">
        <v>46310</v>
      </c>
      <c r="E10" s="7" t="n">
        <v>0.64</v>
      </c>
      <c r="F10" s="8" t="n">
        <v>4</v>
      </c>
      <c r="G10" s="9" t="n">
        <v>50</v>
      </c>
      <c r="H10" s="9" t="n">
        <v>30</v>
      </c>
      <c r="I10" s="9" t="n">
        <f aca="false">G10+H10</f>
        <v>80</v>
      </c>
      <c r="J10" s="9" t="n">
        <f aca="false">MAX(0,D10-DATE(2026,9,22))</f>
        <v>23</v>
      </c>
    </row>
    <row r="11" customFormat="false" ht="15" hidden="false" customHeight="false" outlineLevel="0" collapsed="false">
      <c r="A11" s="5" t="s">
        <v>24</v>
      </c>
      <c r="B11" s="5" t="s">
        <v>25</v>
      </c>
      <c r="C11" s="6" t="n">
        <v>46266</v>
      </c>
      <c r="D11" s="6" t="n">
        <v>46418</v>
      </c>
      <c r="E11" s="7" t="n">
        <v>0.12</v>
      </c>
      <c r="F11" s="8" t="n">
        <v>5</v>
      </c>
      <c r="G11" s="9" t="n">
        <v>30</v>
      </c>
      <c r="H11" s="9" t="n">
        <v>140</v>
      </c>
      <c r="I11" s="9" t="n">
        <f aca="false">G11+H11</f>
        <v>170</v>
      </c>
      <c r="J11" s="9" t="n">
        <f aca="false">MAX(0,D11-DATE(2026,9,22))</f>
        <v>131</v>
      </c>
    </row>
    <row r="12" customFormat="false" ht="15" hidden="false" customHeight="false" outlineLevel="0" collapsed="false">
      <c r="A12" s="11" t="s">
        <v>26</v>
      </c>
      <c r="B12" s="11"/>
      <c r="C12" s="11"/>
      <c r="D12" s="11"/>
      <c r="E12" s="11"/>
      <c r="F12" s="11"/>
      <c r="G12" s="12" t="n">
        <f aca="false">SUM(G5:G11)</f>
        <v>500</v>
      </c>
      <c r="H12" s="12" t="n">
        <f aca="false">SUM(H5:H11)</f>
        <v>485</v>
      </c>
      <c r="I12" s="12" t="n">
        <f aca="false">SUM(I5:I11)</f>
        <v>985</v>
      </c>
      <c r="J12" s="11"/>
    </row>
  </sheetData>
  <conditionalFormatting sqref="E5:E11">
    <cfRule type="dataBar" priority="2">
      <dataBar showValue="1" minLength="10" maxLength="90">
        <cfvo type="min" val="0"/>
        <cfvo type="max" val="0"/>
        <color rgb="FF2E6BE6"/>
      </dataBar>
      <extLst>
        <ext xmlns:x14="http://schemas.microsoft.com/office/spreadsheetml/2009/9/main" uri="{B025F937-C7B1-47D3-B67F-A62EFF666E3E}">
          <x14:id>{B249FCDF-3CFF-4048-A528-23E8756093DD}</x14:id>
        </ext>
      </extLst>
    </cfRule>
  </conditionalFormatting>
  <conditionalFormatting sqref="F5:F11">
    <cfRule type="colorScale" priority="3">
      <colorScale>
        <cfvo type="min" val="0"/>
        <cfvo type="percentile" val="50"/>
        <cfvo type="max" val="0"/>
        <color rgb="FFE3F1E8"/>
        <color rgb="FFFFF4D6"/>
        <color rgb="FFF6D3CF"/>
      </colorScale>
    </cfRule>
  </conditionalFormatting>
  <printOptions headings="false" gridLines="false" gridLinesSet="true" horizontalCentered="false" verticalCentered="false"/>
  <pageMargins left="0.7" right="0.7" top="0.75" bottom="0.7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&amp;L&amp;"Calibri"2026년 3분기 프로젝트 현황 · 대외비</oddHeader>
    <oddFooter>&amp;R&amp;"Calibri"&amp;P / &amp;N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49FCDF-3CFF-4048-A528-23E8756093DD}">
            <x14:dataBar minLength="10" maxLength="90" axisPosition="none" gradient="true">
              <x14:cfvo type="min"/>
              <x14:cfvo type="max"/>
              <x14:negativeFillColor rgb="FF2E6BE6"/>
              <x14:axisColor rgb="FF000000"/>
            </x14:dataBar>
          </x14:cfRule>
          <xm:sqref>E5:E11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2026-09-23T11:44:32Z</dcterms:created>
  <dc:creator>Mixdog</dc:creator>
  <dc:description/>
  <dc:language>ko-KR</dc:language>
  <cp:lastModifiedBy>Mixdog</cp:lastModifiedBy>
  <dcterms:modified xsi:type="dcterms:W3CDTF">2026-09-23T11:44:32Z</dcterms:modified>
  <cp:revision>0</cp:revision>
  <dc:subject/>
  <dc:title>tracker-hf</dc:title>
</cp:coreProperties>
</file>