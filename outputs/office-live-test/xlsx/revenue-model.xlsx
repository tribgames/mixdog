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Model" sheetId="2" state="visible" r:id="rId4"/>
    <sheet name="Checks" sheetId="3" state="visible" r:id="rId5"/>
  </sheets>
  <definedNames>
    <definedName function="false" hidden="false" localSheetId="1" name="_xlnm.Print_Area" vbProcedure="false">Model!$A$1:$I$26</definedName>
    <definedName function="false" hidden="false" name="Growth" vbProcedure="false">Inputs!$B$7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Mixdog</author>
  </authors>
  <commentList>
    <comment ref="B6" authorId="0">
      <text>
        <r>
          <rPr>
            <sz val="10"/>
            <rFont val="맑은 고딕"/>
            <family val="2"/>
          </rPr>
          <t xml:space="preserve">출처: 모아페이 2025 감사보고서 p.12 손익계산서 (예시)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5</xdr:row>
                <xdr:rowOff>2</xdr:rowOff>
              </xdr:from>
              <xdr:to>
                <xdr:col>4</xdr:col>
                <xdr:colOff>15</xdr:colOff>
                <xdr:row>8</xdr:row>
                <xdr:rowOff>14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맑은 고딕"/>
            <family val="2"/>
          </rPr>
          <t xml:space="preserve">사용자 브리프 2026-09-23: 연 18% 성장 가정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6</xdr:row>
                <xdr:rowOff>2</xdr:rowOff>
              </xdr:from>
              <xdr:to>
                <xdr:col>4</xdr:col>
                <xdr:colOff>15</xdr:colOff>
                <xdr:row>9</xdr:row>
                <xdr:rowOff>16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맑은 고딕"/>
            <family val="2"/>
          </rPr>
          <t xml:space="preserve">사용자 브리프 2026-09-23: 2025년 실적 기준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7</xdr:row>
                <xdr:rowOff>2</xdr:rowOff>
              </xdr:from>
              <xdr:to>
                <xdr:col>4</xdr:col>
                <xdr:colOff>15</xdr:colOff>
                <xdr:row>10</xdr:row>
                <xdr:rowOff>16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맑은 고딕"/>
            <family val="2"/>
          </rPr>
          <t xml:space="preserve">재무팀 검토 전 임시값 2026-09-23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8</xdr:row>
                <xdr:rowOff>2</xdr:rowOff>
              </xdr:from>
              <xdr:to>
                <xdr:col>4</xdr:col>
                <xdr:colOff>15</xdr:colOff>
                <xdr:row>11</xdr:row>
                <xdr:rowOff>16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<sst xmlns="http://schemas.openxmlformats.org/spreadsheetml/2006/main" count="24" uniqueCount="24">
  <si>
    <r>
      <rPr>
        <sz val="9"/>
        <color rgb="FF6B7280"/>
        <rFont val="맑은 고딕"/>
        <family val="2"/>
      </rPr>
      <t xml:space="preserve">파란 글자 </t>
    </r>
    <r>
      <rPr>
        <sz val="9"/>
        <color rgb="FF6B7280"/>
        <rFont val="Calibri"/>
        <family val="2"/>
        <charset val="1"/>
      </rPr>
      <t xml:space="preserve">= </t>
    </r>
    <r>
      <rPr>
        <sz val="9"/>
        <color rgb="FF6B7280"/>
        <rFont val="맑은 고딕"/>
        <family val="2"/>
      </rPr>
      <t xml:space="preserve">입력값</t>
    </r>
    <r>
      <rPr>
        <sz val="9"/>
        <color rgb="FF6B7280"/>
        <rFont val="Calibri"/>
        <family val="2"/>
        <charset val="1"/>
      </rPr>
      <t xml:space="preserve">, </t>
    </r>
    <r>
      <rPr>
        <sz val="9"/>
        <color rgb="FF6B7280"/>
        <rFont val="맑은 고딕"/>
        <family val="2"/>
      </rPr>
      <t xml:space="preserve">검은 글자 </t>
    </r>
    <r>
      <rPr>
        <sz val="9"/>
        <color rgb="FF6B7280"/>
        <rFont val="Calibri"/>
        <family val="2"/>
        <charset val="1"/>
      </rPr>
      <t xml:space="preserve">= </t>
    </r>
    <r>
      <rPr>
        <sz val="9"/>
        <color rgb="FF6B7280"/>
        <rFont val="맑은 고딕"/>
        <family val="2"/>
      </rPr>
      <t xml:space="preserve">수식</t>
    </r>
  </si>
  <si>
    <r>
      <rPr>
        <sz val="9"/>
        <color rgb="FF6B7280"/>
        <rFont val="맑은 고딕"/>
        <family val="2"/>
      </rPr>
      <t xml:space="preserve">노란 칸 </t>
    </r>
    <r>
      <rPr>
        <sz val="9"/>
        <color rgb="FF6B7280"/>
        <rFont val="Calibri"/>
        <family val="2"/>
        <charset val="1"/>
      </rPr>
      <t xml:space="preserve">= </t>
    </r>
    <r>
      <rPr>
        <sz val="9"/>
        <color rgb="FF6B7280"/>
        <rFont val="맑은 고딕"/>
        <family val="2"/>
      </rPr>
      <t xml:space="preserve">검토 후 채울 값</t>
    </r>
  </si>
  <si>
    <r>
      <rPr>
        <sz val="9"/>
        <color rgb="FF6B7280"/>
        <rFont val="맑은 고딕"/>
        <family val="2"/>
      </rPr>
      <t xml:space="preserve">단위</t>
    </r>
    <r>
      <rPr>
        <sz val="9"/>
        <color rgb="FF6B7280"/>
        <rFont val="Calibri"/>
        <family val="2"/>
        <charset val="1"/>
      </rPr>
      <t xml:space="preserve">: </t>
    </r>
    <r>
      <rPr>
        <sz val="9"/>
        <color rgb="FF6B7280"/>
        <rFont val="맑은 고딕"/>
        <family val="2"/>
      </rPr>
      <t xml:space="preserve">억 원 </t>
    </r>
    <r>
      <rPr>
        <sz val="9"/>
        <color rgb="FF6B7280"/>
        <rFont val="Calibri"/>
        <family val="2"/>
        <charset val="1"/>
      </rPr>
      <t xml:space="preserve">(</t>
    </r>
    <r>
      <rPr>
        <sz val="9"/>
        <color rgb="FF6B7280"/>
        <rFont val="맑은 고딕"/>
        <family val="2"/>
      </rPr>
      <t xml:space="preserve">예시 가정</t>
    </r>
    <r>
      <rPr>
        <sz val="9"/>
        <color rgb="FF6B7280"/>
        <rFont val="Calibri"/>
        <family val="2"/>
        <charset val="1"/>
      </rPr>
      <t xml:space="preserve">)</t>
    </r>
  </si>
  <si>
    <t xml:space="preserve">가정</t>
  </si>
  <si>
    <t xml:space="preserve">값</t>
  </si>
  <si>
    <r>
      <rPr>
        <sz val="11"/>
        <color rgb="FF000000"/>
        <rFont val="Calibri"/>
        <family val="2"/>
        <charset val="1"/>
      </rPr>
      <t xml:space="preserve">2025</t>
    </r>
    <r>
      <rPr>
        <sz val="11"/>
        <color rgb="FF000000"/>
        <rFont val="맑은 고딕"/>
        <family val="2"/>
      </rPr>
      <t xml:space="preserve">년 매출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맑은 고딕"/>
        <family val="2"/>
      </rPr>
      <t xml:space="preserve">억 원</t>
    </r>
    <r>
      <rPr>
        <sz val="11"/>
        <color rgb="FF000000"/>
        <rFont val="Calibri"/>
        <family val="2"/>
        <charset val="1"/>
      </rPr>
      <t xml:space="preserve">)</t>
    </r>
  </si>
  <si>
    <t xml:space="preserve">연 매출 성장률</t>
  </si>
  <si>
    <t xml:space="preserve">매출총이익률</t>
  </si>
  <si>
    <t xml:space="preserve">판관비율</t>
  </si>
  <si>
    <r>
      <rPr>
        <b val="true"/>
        <sz val="11"/>
        <color rgb="FF000000"/>
        <rFont val="맑은 고딕"/>
        <family val="2"/>
      </rPr>
      <t xml:space="preserve">항목 </t>
    </r>
    <r>
      <rPr>
        <b val="true"/>
        <sz val="11"/>
        <color rgb="FF000000"/>
        <rFont val="Calibri"/>
        <family val="2"/>
        <charset val="1"/>
      </rPr>
      <t xml:space="preserve">(</t>
    </r>
    <r>
      <rPr>
        <b val="true"/>
        <sz val="11"/>
        <color rgb="FF000000"/>
        <rFont val="맑은 고딕"/>
        <family val="2"/>
      </rPr>
      <t xml:space="preserve">억 원</t>
    </r>
    <r>
      <rPr>
        <b val="true"/>
        <sz val="11"/>
        <color rgb="FF000000"/>
        <rFont val="Calibri"/>
        <family val="2"/>
        <charset val="1"/>
      </rPr>
      <t xml:space="preserve">)</t>
    </r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</si>
  <si>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</si>
  <si>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</si>
  <si>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</si>
  <si>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</si>
  <si>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</si>
  <si>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</si>
  <si>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매출</t>
  </si>
  <si>
    <t xml:space="preserve">매출총이익</t>
  </si>
  <si>
    <t xml:space="preserve">판관비</t>
  </si>
  <si>
    <t xml:space="preserve">영업이익</t>
  </si>
  <si>
    <t xml:space="preserve">영업이익률</t>
  </si>
  <si>
    <t xml:space="preserve">모든 검증 통과</t>
  </si>
  <si>
    <r>
      <rPr>
        <sz val="11"/>
        <color rgb="FF000000"/>
        <rFont val="맑은 고딕"/>
        <family val="2"/>
      </rPr>
      <t xml:space="preserve">영업이익 </t>
    </r>
    <r>
      <rPr>
        <sz val="11"/>
        <color rgb="FF000000"/>
        <rFont val="Calibri"/>
        <family val="2"/>
        <charset val="1"/>
      </rPr>
      <t xml:space="preserve">= </t>
    </r>
    <r>
      <rPr>
        <sz val="11"/>
        <color rgb="FF000000"/>
        <rFont val="맑은 고딕"/>
        <family val="2"/>
      </rPr>
      <t xml:space="preserve">매출총이익 − 판관비 </t>
    </r>
    <r>
      <rPr>
        <sz val="11"/>
        <color rgb="FF000000"/>
        <rFont val="Calibri"/>
        <family val="2"/>
        <charset val="1"/>
      </rPr>
      <t xml:space="preserve">(2030)</t>
    </r>
  </si>
  <si>
    <r>
      <rPr>
        <sz val="11"/>
        <color rgb="FF000000"/>
        <rFont val="Calibri"/>
        <family val="2"/>
        <charset val="1"/>
      </rPr>
      <t xml:space="preserve">2030 </t>
    </r>
    <r>
      <rPr>
        <sz val="11"/>
        <color rgb="FF000000"/>
        <rFont val="맑은 고딕"/>
        <family val="2"/>
      </rPr>
      <t xml:space="preserve">매출 </t>
    </r>
    <r>
      <rPr>
        <sz val="11"/>
        <color rgb="FF000000"/>
        <rFont val="Calibri"/>
        <family val="2"/>
        <charset val="1"/>
      </rPr>
      <t xml:space="preserve">= 2025 </t>
    </r>
    <r>
      <rPr>
        <sz val="11"/>
        <color rgb="FF000000"/>
        <rFont val="맑은 고딕"/>
        <family val="2"/>
      </rPr>
      <t xml:space="preserve">매출 </t>
    </r>
    <r>
      <rPr>
        <sz val="11"/>
        <color rgb="FF000000"/>
        <rFont val="Calibri"/>
        <family val="2"/>
        <charset val="1"/>
      </rPr>
      <t xml:space="preserve">× (1+</t>
    </r>
    <r>
      <rPr>
        <sz val="11"/>
        <color rgb="FF000000"/>
        <rFont val="맑은 고딕"/>
        <family val="2"/>
      </rPr>
      <t xml:space="preserve">성장률</t>
    </r>
    <r>
      <rPr>
        <sz val="11"/>
        <color rgb="FF000000"/>
        <rFont val="Calibri"/>
        <family val="2"/>
        <charset val="1"/>
      </rPr>
      <t xml:space="preserve">)^5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</si>
</sst>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;\(#,##0\);\-"/>
    <numFmt numFmtId="168" formatCode="0.0%;\(0.0%\);\-"/>
  </numFmts>
  <fonts count="15">
    <font>
      <sz val="11"/>
      <color rgb="FF000000"/>
      <name val="Calibri"/>
      <family val="2"/>
    </font>
    <font>
      <sz val="10"/>
      <name val="Calibri"/>
      <family val="0"/>
    </font>
    <font>
      <sz val="10"/>
      <name val="Calibri"/>
      <family val="0"/>
    </font>
    <font>
      <sz val="10"/>
      <name val="Calibri"/>
      <family val="0"/>
    </font>
    <font>
      <sz val="9"/>
      <color rgb="FF6B7280"/>
      <name val="Calibri"/>
      <family val="2"/>
    </font>
    <font>
      <sz val="9"/>
      <color rgb="FF6B7280"/>
      <name val="Calibri"/>
      <family val="2"/>
      <charset val="1"/>
    </font>
    <font>
      <b val="true"/>
      <sz val="11"/>
      <color rgb="FF000000"/>
      <name val="맑은 고딕"/>
      <family val="2"/>
    </font>
    <font>
      <sz val="11"/>
      <color rgb="FF000000"/>
      <name val="Calibri"/>
      <family val="2"/>
      <charset val="1"/>
    </font>
    <font>
      <sz val="11"/>
      <color rgb="FF0000FF"/>
      <name val="Calibri"/>
      <family val="2"/>
      <charset val="1"/>
    </font>
    <font>
      <sz val="10"/>
      <name val="맑은 고딕"/>
      <family val="2"/>
    </font>
    <font>
      <b val="true"/>
      <sz val="11"/>
      <color rgb="FF00000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2"/>
      <color rgb="FF171717"/>
      <name val="맑은 고딕"/>
      <family val="2"/>
    </font>
    <font>
      <b val="true"/>
      <sz val="12"/>
      <color rgb="FF171717"/>
      <name val="Arial"/>
      <family val="2"/>
    </font>
    <font>
      <sz val="9"/>
      <color rgb="FF5F6368"/>
      <name val="맑은 고딕"/>
      <family val="2"/>
    </font>
  </fonts>
  <fills count="4">
    <fill>
      <patternFill patternType="none"/>
    </fill>
    <fill>
      <patternFill patternType="gray125"/>
    </fill>
    <fill>
      <patternFill patternType="solid">
        <fgColor rgb="FFEEF2F7"/>
        <bgColor rgb="FFE7E9EC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D6"/>
      </bottom>
      <diagonal/>
    </border>
    <border diagonalUp="false" diagonalDown="false">
      <left/>
      <right/>
      <top style="thin">
        <color rgb="FF0A25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2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7CBD1"/>
      <rgbColor rgb="FF5F6368"/>
      <rgbColor rgb="FF9999FF"/>
      <rgbColor rgb="FF993366"/>
      <rgbColor rgb="FFFFFFCC"/>
      <rgbColor rgb="FFE7E9EC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6DB5"/>
      <rgbColor rgb="FF33CCCC"/>
      <rgbColor rgb="FF99CC00"/>
      <rgbColor rgb="FFFFCC00"/>
      <rgbColor rgb="FFFF9900"/>
      <rgbColor rgb="FFFF6600"/>
      <rgbColor rgb="FF6B7280"/>
      <rgbColor rgb="FF969696"/>
      <rgbColor rgb="FF0A2540"/>
      <rgbColor rgb="FF339966"/>
      <rgbColor rgb="FF17171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200" b="1" u="none" strike="noStrike">
                <a:solidFill>
                  <a:srgbClr val="171717"/>
                </a:solidFill>
                <a:uFillTx/>
                <a:latin typeface="Arial"/>
              </a:rPr>
              <a:t>매출 전망 (억 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Model!$A$2</c:f>
              <c:strCache>
                <c:ptCount val="1"/>
                <c:pt idx="0">
                  <c:v>매출</c:v>
                </c:pt>
              </c:strCache>
            </c:strRef>
          </c:tx>
          <c:spPr>
            <a:solidFill>
              <a:srgbClr val="2F6DB5"/>
            </a:solidFill>
            <a:ln w="1260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Model!$B$1:$G$1</c:f>
              <c:strCach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strCache>
            </c:strRef>
          </c:cat>
          <c:val>
            <c:numRef>
              <c:f>Model!$B$2:$G$2</c:f>
              <c:numCache>
                <c:formatCode>#,##0;\(#,##0\);\-</c:formatCode>
                <c:ptCount val="6"/>
                <c:pt idx="0">
                  <c:v>7340</c:v>
                </c:pt>
                <c:pt idx="1">
                  <c:v>8661.2</c:v>
                </c:pt>
                <c:pt idx="2">
                  <c:v>10220.216</c:v>
                </c:pt>
                <c:pt idx="3">
                  <c:v>12059.85488</c:v>
                </c:pt>
                <c:pt idx="4">
                  <c:v>14230.6287584</c:v>
                </c:pt>
                <c:pt idx="5">
                  <c:v>16792.141934912</c:v>
                </c:pt>
              </c:numCache>
            </c:numRef>
          </c:val>
        </c:ser>
        <c:gapWidth val="90"/>
        <c:overlap val="-20"/>
        <c:axId val="85190054"/>
        <c:axId val="22391140"/>
      </c:barChart>
      <c:catAx>
        <c:axId val="851900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7CBD1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F6368"/>
                </a:solidFill>
                <a:uFillTx/>
                <a:latin typeface="Arial"/>
              </a:defRPr>
            </a:pPr>
          </a:p>
        </c:txPr>
        <c:crossAx val="22391140"/>
        <c:crosses val="autoZero"/>
        <c:auto val="1"/>
        <c:lblAlgn val="ctr"/>
        <c:lblOffset val="100"/>
        <c:noMultiLvlLbl val="0"/>
      </c:catAx>
      <c:valAx>
        <c:axId val="2239114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7E9EC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F6368"/>
                </a:solidFill>
                <a:uFillTx/>
                <a:latin typeface="Arial"/>
              </a:defRPr>
            </a:pPr>
          </a:p>
        </c:txPr>
        <c:crossAx val="851900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8</xdr:col>
      <xdr:colOff>14400</xdr:colOff>
      <xdr:row>23</xdr:row>
      <xdr:rowOff>190440</xdr:rowOff>
    </xdr:to>
    <xdr:graphicFrame>
      <xdr:nvGraphicFramePr>
        <xdr:cNvPr id="1" name="Chart 1"/>
        <xdr:cNvGraphicFramePr/>
      </xdr:nvGraphicFramePr>
      <xdr:xfrm>
        <a:off x="0" y="1541880"/>
        <a:ext cx="5841720" cy="304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9609375" defaultRowHeight="15" customHeight="false" zeroHeight="false" outlineLevelRow="0" outlineLevelCol="0"/>
  <cols>
    <col collapsed="false" customWidth="1" hidden="false" outlineLevel="0" max="1" min="1" style="0" width="21"/>
    <col collapsed="false" customWidth="1" hidden="false" outlineLevel="0" max="2" min="2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5" customFormat="false" ht="15" hidden="false" customHeight="false" outlineLevel="0" collapsed="false">
      <c r="A5" s="2" t="s">
        <v>3</v>
      </c>
      <c r="B5" s="2" t="s">
        <v>4</v>
      </c>
    </row>
    <row r="6" customFormat="false" ht="16.4" hidden="false" customHeight="false" outlineLevel="0" collapsed="false">
      <c r="A6" s="3" t="s">
        <v>5</v>
      </c>
      <c r="B6" s="4" t="n">
        <v>7340</v>
      </c>
    </row>
    <row r="7" customFormat="false" ht="15" hidden="false" customHeight="false" outlineLevel="0" collapsed="false">
      <c r="A7" s="5" t="s">
        <v>6</v>
      </c>
      <c r="B7" s="6" t="n">
        <v>0.18</v>
      </c>
    </row>
    <row r="8" customFormat="false" ht="15" hidden="false" customHeight="false" outlineLevel="0" collapsed="false">
      <c r="A8" s="5" t="s">
        <v>7</v>
      </c>
      <c r="B8" s="6" t="n">
        <v>0.62</v>
      </c>
    </row>
    <row r="9" customFormat="false" ht="15" hidden="false" customHeight="false" outlineLevel="0" collapsed="false">
      <c r="A9" s="5" t="s">
        <v>8</v>
      </c>
      <c r="B9" s="7" t="n">
        <v>0.47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9609375" defaultRowHeight="15" customHeight="false" zeroHeight="false" outlineLevelRow="0" outlineLevelCol="0"/>
  <cols>
    <col collapsed="false" customWidth="1" hidden="false" outlineLevel="0" max="1" min="1" style="0" width="14"/>
    <col collapsed="false" customWidth="1" hidden="false" outlineLevel="0" max="2" min="2" style="0" width="10"/>
    <col collapsed="false" customWidth="1" hidden="false" outlineLevel="0" max="3" min="3" style="0" width="10"/>
    <col collapsed="false" customWidth="1" hidden="false" outlineLevel="0" max="4" min="4" style="0" width="10"/>
    <col collapsed="false" customWidth="1" hidden="false" outlineLevel="0" max="5" min="5" style="0" width="10"/>
    <col collapsed="false" customWidth="1" hidden="false" outlineLevel="0" max="6" min="6" style="0" width="10"/>
    <col collapsed="false" customWidth="1" hidden="false" outlineLevel="0" max="7" min="7" style="0" width="10"/>
  </cols>
  <sheetData>
    <row r="1" customFormat="false" ht="16.4" hidden="false" customHeight="false" outlineLevel="0" collapsed="false">
      <c r="A1" s="2" t="s">
        <v>9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</row>
    <row r="2" customFormat="false" ht="15" hidden="false" customHeight="false" outlineLevel="0" collapsed="false">
      <c r="A2" s="5" t="s">
        <v>16</v>
      </c>
      <c r="B2" s="9" t="n">
        <f aca="false">Inputs!B6</f>
        <v>7340</v>
      </c>
      <c r="C2" s="10" t="n">
        <f aca="false">B2*(1+Growth)</f>
        <v>8661.2</v>
      </c>
      <c r="D2" s="10" t="n">
        <f aca="false">C2*(1+Growth)</f>
        <v>10220.216</v>
      </c>
      <c r="E2" s="10" t="n">
        <f aca="false">D2*(1+Growth)</f>
        <v>12059.85488</v>
      </c>
      <c r="F2" s="10" t="n">
        <f aca="false">E2*(1+Growth)</f>
        <v>14230.6287584</v>
      </c>
      <c r="G2" s="10" t="n">
        <f aca="false">F2*(1+Growth)</f>
        <v>16792.141934912</v>
      </c>
    </row>
    <row r="3" customFormat="false" ht="15" hidden="false" customHeight="false" outlineLevel="0" collapsed="false">
      <c r="A3" s="5" t="s">
        <v>17</v>
      </c>
      <c r="B3" s="10" t="n">
        <f aca="false">B2*Inputs!$B$8</f>
        <v>4550.8</v>
      </c>
      <c r="C3" s="10" t="n">
        <f aca="false">C2*Inputs!$B$8</f>
        <v>5369.944</v>
      </c>
      <c r="D3" s="10" t="n">
        <f aca="false">D2*Inputs!$B$8</f>
        <v>6336.53392</v>
      </c>
      <c r="E3" s="10" t="n">
        <f aca="false">E2*Inputs!$B$8</f>
        <v>7477.1100256</v>
      </c>
      <c r="F3" s="10" t="n">
        <f aca="false">F2*Inputs!$B$8</f>
        <v>8822.989830208</v>
      </c>
      <c r="G3" s="10" t="n">
        <f aca="false">G2*Inputs!$B$8</f>
        <v>10411.1279996454</v>
      </c>
    </row>
    <row r="4" customFormat="false" ht="15" hidden="false" customHeight="false" outlineLevel="0" collapsed="false">
      <c r="A4" s="5" t="s">
        <v>18</v>
      </c>
      <c r="B4" s="10" t="n">
        <f aca="false">B2*Inputs!$B$9</f>
        <v>3449.8</v>
      </c>
      <c r="C4" s="10" t="n">
        <f aca="false">C2*Inputs!$B$9</f>
        <v>4070.764</v>
      </c>
      <c r="D4" s="10" t="n">
        <f aca="false">D2*Inputs!$B$9</f>
        <v>4803.50152</v>
      </c>
      <c r="E4" s="10" t="n">
        <f aca="false">E2*Inputs!$B$9</f>
        <v>5668.1317936</v>
      </c>
      <c r="F4" s="10" t="n">
        <f aca="false">F2*Inputs!$B$9</f>
        <v>6688.395516448</v>
      </c>
      <c r="G4" s="10" t="n">
        <f aca="false">G2*Inputs!$B$9</f>
        <v>7892.30670940864</v>
      </c>
    </row>
    <row r="5" customFormat="false" ht="15" hidden="false" customHeight="false" outlineLevel="0" collapsed="false">
      <c r="A5" s="11" t="s">
        <v>19</v>
      </c>
      <c r="B5" s="12" t="n">
        <f aca="false">B3-B4</f>
        <v>1101</v>
      </c>
      <c r="C5" s="12" t="n">
        <f aca="false">C3-C4</f>
        <v>1299.18</v>
      </c>
      <c r="D5" s="12" t="n">
        <f aca="false">D3-D4</f>
        <v>1533.0324</v>
      </c>
      <c r="E5" s="12" t="n">
        <f aca="false">E3-E4</f>
        <v>1808.978232</v>
      </c>
      <c r="F5" s="12" t="n">
        <f aca="false">F3-F4</f>
        <v>2134.59431376</v>
      </c>
      <c r="G5" s="12" t="n">
        <f aca="false">G3-G4</f>
        <v>2518.8212902368</v>
      </c>
    </row>
    <row r="6" customFormat="false" ht="15" hidden="false" customHeight="false" outlineLevel="0" collapsed="false">
      <c r="A6" s="5" t="s">
        <v>20</v>
      </c>
      <c r="B6" s="13" t="n">
        <f aca="false">IFERROR(B5/B2,0)</f>
        <v>0.15</v>
      </c>
      <c r="C6" s="13" t="n">
        <f aca="false">IFERROR(C5/C2,0)</f>
        <v>0.15</v>
      </c>
      <c r="D6" s="13" t="n">
        <f aca="false">IFERROR(D5/D2,0)</f>
        <v>0.15</v>
      </c>
      <c r="E6" s="13" t="n">
        <f aca="false">IFERROR(E5/E2,0)</f>
        <v>0.15</v>
      </c>
      <c r="F6" s="13" t="n">
        <f aca="false">IFERROR(F5/F2,0)</f>
        <v>0.15</v>
      </c>
      <c r="G6" s="13" t="n">
        <f aca="false">IFERROR(G5/G2,0)</f>
        <v>0.15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9609375" defaultRowHeight="15" customHeight="false" zeroHeight="false" outlineLevelRow="0" outlineLevelCol="0"/>
  <cols>
    <col collapsed="false" customWidth="1" hidden="false" outlineLevel="0" max="1" min="1" style="0" width="39"/>
    <col collapsed="false" customWidth="1" hidden="false" outlineLevel="0" max="2" min="2" style="0" width="10"/>
  </cols>
  <sheetData>
    <row r="1" customFormat="false" ht="15" hidden="false" customHeight="false" outlineLevel="0" collapsed="false">
      <c r="A1" s="14" t="s">
        <v>21</v>
      </c>
      <c r="B1" s="15" t="b">
        <f aca="false">AND(B3:B4)</f>
        <v>1</v>
      </c>
    </row>
    <row r="3" customFormat="false" ht="16.4" hidden="false" customHeight="false" outlineLevel="0" collapsed="false">
      <c r="A3" s="5" t="s">
        <v>22</v>
      </c>
      <c r="B3" s="16" t="b">
        <f aca="false">ROUND(Model!G5-(Model!G3-Model!G4),2)=0</f>
        <v>1</v>
      </c>
    </row>
    <row r="4" customFormat="false" ht="16.4" hidden="false" customHeight="false" outlineLevel="0" collapsed="false">
      <c r="A4" s="3" t="s">
        <v>23</v>
      </c>
      <c r="B4" s="16" t="b">
        <f aca="false">ROUND(Model!G2-Model!B2*(1+Growth)^5,2)=0</f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2026-09-23T08:26:04Z</dcterms:created>
  <dc:creator>Mixdog</dc:creator>
  <dc:description/>
  <dc:language>ko-KR</dc:language>
  <cp:lastModifiedBy>Mixdog</cp:lastModifiedBy>
  <dcterms:modified xsi:type="dcterms:W3CDTF">2026-09-23T08:26:04Z</dcterms:modified>
  <cp:revision>0</cp:revision>
  <dc:subject/>
  <dc:title>revenue-model</dc:title>
</cp:coreProperties>
</file>