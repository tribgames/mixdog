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ixdog\outputs\office-live-test\xlsx\"/>
    </mc:Choice>
  </mc:AlternateContent>
  <xr:revisionPtr revIDLastSave="0" documentId="13_ncr:1_{A025746E-7261-4636-B69D-A8ABC5EEC382}" xr6:coauthVersionLast="47" xr6:coauthVersionMax="47" xr10:uidLastSave="{00000000-0000-0000-0000-000000000000}"/>
  <bookViews>
    <workbookView xWindow="1515" yWindow="1515" windowWidth="27195" windowHeight="14685" xr2:uid="{74333674-39C2-4950-A06F-AF1CD37B7BBC}"/>
  </bookViews>
  <sheets>
    <sheet name="프로젝트 현황" sheetId="1" r:id="rId1"/>
  </sheets>
  <definedNames>
    <definedName name="_xlnm.Print_Area" localSheetId="0">'프로젝트 현황'!$A$1:$J$33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1" l="1"/>
  <c r="G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I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재무검토</author>
  </authors>
  <commentList>
    <comment ref="G4" authorId="0" shapeId="0" xr:uid="{08FC1866-2DBB-4ED8-AD43-C9D37ABF9269}">
      <text>
        <r>
          <rPr>
            <b/>
            <sz val="9"/>
            <color indexed="81"/>
            <rFont val="Tahoma"/>
            <family val="2"/>
          </rPr>
          <t>출처: 팀별 주간 타임시트 합계 (예시 수치)</t>
        </r>
      </text>
    </comment>
  </commentList>
</comments>
</file>

<file path=xl/sharedStrings.xml><?xml version="1.0" encoding="utf-8"?>
<sst xmlns="http://schemas.openxmlformats.org/spreadsheetml/2006/main" count="27" uniqueCount="27">
  <si>
    <t>2026년 3분기 프로젝트 현황</t>
  </si>
  <si>
    <t>2026-09-22 기준 · 진행률은 완료된 작업 비율, 위험도는 1(낮음)~10(높음)</t>
  </si>
  <si>
    <t>프로젝트</t>
  </si>
  <si>
    <t>담당</t>
  </si>
  <si>
    <t>시작</t>
  </si>
  <si>
    <t>마감</t>
  </si>
  <si>
    <t>진행률</t>
  </si>
  <si>
    <t>위험도</t>
  </si>
  <si>
    <t>완료 시간</t>
  </si>
  <si>
    <t>남은 시간</t>
  </si>
  <si>
    <t>총 시간</t>
  </si>
  <si>
    <t>남은 일수</t>
  </si>
  <si>
    <t>결제 리뉴얼</t>
  </si>
  <si>
    <t>결제팀</t>
  </si>
  <si>
    <t>대출 비교 2.0</t>
  </si>
  <si>
    <t>대출팀</t>
  </si>
  <si>
    <t>해외 송금 확장</t>
  </si>
  <si>
    <t>송금팀</t>
  </si>
  <si>
    <t>앱 온보딩 개선</t>
  </si>
  <si>
    <t>그로스팀</t>
  </si>
  <si>
    <t>사기 탐지 모델</t>
  </si>
  <si>
    <t>리스크팀</t>
  </si>
  <si>
    <t>고객센터 챗봇</t>
  </si>
  <si>
    <t>CX팀</t>
  </si>
  <si>
    <t>투자 상품 추가</t>
  </si>
  <si>
    <t>투자팀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</si>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</sst>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1F2A44"/>
      <name val="맑은 고딕"/>
      <family val="3"/>
      <charset val="129"/>
      <scheme val="minor"/>
    </font>
    <font>
      <sz val="9"/>
      <color rgb="FF6B728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1F2A4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vertical="center"/>
    </xf>
    <xf numFmtId="14" fontId="0" fillId="0" borderId="0" xfId="0" applyNumberFormat="1">
      <alignment vertical="center"/>
    </xf>
    <xf numFmtId="9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4" fillId="0" borderId="1" xfId="0" applyFont="1" applyBorder="1">
      <alignment vertical="center"/>
    </xf>
    <xf numFmtId="3" fontId="4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프로젝트별 시간</a:t>
            </a:r>
            <a:r>
              <a:rPr lang="en-US" altLang="ko-KR"/>
              <a:t>: </a:t>
            </a:r>
            <a:r>
              <a:rPr lang="ko-KR" altLang="en-US"/>
              <a:t>완료 대 남은 시간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'프로젝트 현황'!$G$4</c:f>
              <c:strCache>
                <c:ptCount val="1"/>
                <c:pt idx="0">
                  <c:v>완료 시간</c:v>
                </c:pt>
              </c:strCache>
            </c:strRef>
          </c:tx>
          <c:spPr>
            <a:solidFill>
              <a:srgbClr val="2F6DB5"/>
            </a:solidFill>
            <a:ln>
              <a:solidFill>
                <a:srgbClr val="2F6DB5"/>
              </a:solidFill>
            </a:ln>
            <a:effectLst/>
          </c:spPr>
          <c:invertIfNegative val="0"/>
          <c:cat>
            <c:strRef>
              <c:f>'프로젝트 현황'!$A$5:$A$11</c:f>
              <c:strCache>
                <c:ptCount val="7"/>
                <c:pt idx="0">
                  <c:v>결제 리뉴얼</c:v>
                </c:pt>
                <c:pt idx="1">
                  <c:v>대출 비교 2.0</c:v>
                </c:pt>
                <c:pt idx="2">
                  <c:v>해외 송금 확장</c:v>
                </c:pt>
                <c:pt idx="3">
                  <c:v>앱 온보딩 개선</c:v>
                </c:pt>
                <c:pt idx="4">
                  <c:v>사기 탐지 모델</c:v>
                </c:pt>
                <c:pt idx="5">
                  <c:v>고객센터 챗봇</c:v>
                </c:pt>
                <c:pt idx="6">
                  <c:v>투자 상품 추가</c:v>
                </c:pt>
              </c:strCache>
            </c:strRef>
          </c:cat>
          <c:val>
            <c:numRef>
              <c:f>'프로젝트 현황'!$G$5:$G$11</c:f>
              <c:numCache>
                <c:formatCode>#,##0</c:formatCode>
                <c:ptCount val="7"/>
                <c:pt idx="0">
                  <c:v>120</c:v>
                </c:pt>
                <c:pt idx="1">
                  <c:v>90</c:v>
                </c:pt>
                <c:pt idx="2">
                  <c:v>60</c:v>
                </c:pt>
                <c:pt idx="3">
                  <c:v>80</c:v>
                </c:pt>
                <c:pt idx="4">
                  <c:v>70</c:v>
                </c:pt>
                <c:pt idx="5">
                  <c:v>50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9-4343-98A3-6B5CEB17362C}"/>
            </c:ext>
          </c:extLst>
        </c:ser>
        <c:ser>
          <c:idx val="1"/>
          <c:order val="1"/>
          <c:tx>
            <c:strRef>
              <c:f>'프로젝트 현황'!$H$4</c:f>
              <c:strCache>
                <c:ptCount val="1"/>
                <c:pt idx="0">
                  <c:v>남은 시간</c:v>
                </c:pt>
              </c:strCache>
            </c:strRef>
          </c:tx>
          <c:spPr>
            <a:solidFill>
              <a:srgbClr val="9FB6CE"/>
            </a:solidFill>
            <a:ln>
              <a:solidFill>
                <a:srgbClr val="9FB6CE"/>
              </a:solidFill>
            </a:ln>
            <a:effectLst/>
          </c:spPr>
          <c:invertIfNegative val="0"/>
          <c:cat>
            <c:strRef>
              <c:f>'프로젝트 현황'!$A$5:$A$11</c:f>
              <c:strCache>
                <c:ptCount val="7"/>
                <c:pt idx="0">
                  <c:v>결제 리뉴얼</c:v>
                </c:pt>
                <c:pt idx="1">
                  <c:v>대출 비교 2.0</c:v>
                </c:pt>
                <c:pt idx="2">
                  <c:v>해외 송금 확장</c:v>
                </c:pt>
                <c:pt idx="3">
                  <c:v>앱 온보딩 개선</c:v>
                </c:pt>
                <c:pt idx="4">
                  <c:v>사기 탐지 모델</c:v>
                </c:pt>
                <c:pt idx="5">
                  <c:v>고객센터 챗봇</c:v>
                </c:pt>
                <c:pt idx="6">
                  <c:v>투자 상품 추가</c:v>
                </c:pt>
              </c:strCache>
            </c:strRef>
          </c:cat>
          <c:val>
            <c:numRef>
              <c:f>'프로젝트 현황'!$H$5:$H$11</c:f>
              <c:numCache>
                <c:formatCode>#,##0</c:formatCode>
                <c:ptCount val="7"/>
                <c:pt idx="0">
                  <c:v>40</c:v>
                </c:pt>
                <c:pt idx="1">
                  <c:v>70</c:v>
                </c:pt>
                <c:pt idx="2">
                  <c:v>110</c:v>
                </c:pt>
                <c:pt idx="3">
                  <c:v>0</c:v>
                </c:pt>
                <c:pt idx="4">
                  <c:v>95</c:v>
                </c:pt>
                <c:pt idx="5">
                  <c:v>30</c:v>
                </c:pt>
                <c:pt idx="6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89-4343-98A3-6B5CEB173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2080366671"/>
        <c:axId val="884465775"/>
      </c:barChart>
      <c:catAx>
        <c:axId val="208036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4465775"/>
        <c:crosses val="autoZero"/>
        <c:auto val="0"/>
        <c:lblAlgn val="ctr"/>
        <c:lblOffset val="100"/>
        <c:noMultiLvlLbl val="0"/>
      </c:catAx>
      <c:valAx>
        <c:axId val="88446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0366671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482600</xdr:colOff>
      <xdr:row>27</xdr:row>
      <xdr:rowOff>196850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91ABBEF-3C75-91D7-C8AC-64E26FA23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D67D-ACC2-40BC-82CC-7E70CA728438}">
  <sheetPr>
    <pageSetUpPr fitToPage="1"/>
  </sheetPr>
  <dimension ref="A1:J12"/>
  <sheetViews>
    <sheetView tabSelected="1" workbookViewId="0">
      <pane ySplit="4" topLeftCell="A5" activePane="bottomLeft" state="frozenSplit"/>
      <selection pane="bottomLeft"/>
    </sheetView>
  </sheetViews>
  <sheetFormatPr defaultRowHeight="16.5" x14ac:dyDescent="0.3"/>
  <cols>
    <col min="1" max="1" width="18.625" customWidth="1"/>
    <col min="2" max="2" width="10.625" customWidth="1"/>
    <col min="3" max="4" width="12.625" customWidth="1"/>
    <col min="5" max="10" width="10.625" customWidth="1"/>
  </cols>
  <sheetData>
    <row r="1" spans="1:10" ht="26.25" x14ac:dyDescent="0.3">
      <c r="A1" s="1" t="s">
        <v>0</v>
      </c>
    </row>
    <row r="2" spans="1:10" x14ac:dyDescent="0.3">
      <c r="A2" s="2" t="s">
        <v>1</v>
      </c>
    </row>
    <row r="4" spans="1:10" x14ac:dyDescent="0.3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0" x14ac:dyDescent="0.3">
      <c r="A5" t="s">
        <v>12</v>
      </c>
      <c r="B5" t="s">
        <v>13</v>
      </c>
      <c r="C5" s="5">
        <v>46204</v>
      </c>
      <c r="D5" s="5">
        <v>46295</v>
      </c>
      <c r="E5" s="6">
        <v>0.82</v>
      </c>
      <c r="F5">
        <v>3</v>
      </c>
      <c r="G5" s="7">
        <v>120</v>
      </c>
      <c r="H5" s="7">
        <v>40</v>
      </c>
      <c r="I5" s="7">
        <f>G5+H5</f>
        <v>160</v>
      </c>
      <c r="J5" s="7">
        <f>MAX(0,D5-DATE(2026,9,22))</f>
        <v>8</v>
      </c>
    </row>
    <row r="6" spans="1:10" x14ac:dyDescent="0.3">
      <c r="A6" t="s">
        <v>14</v>
      </c>
      <c r="B6" t="s">
        <v>15</v>
      </c>
      <c r="C6" s="5">
        <v>46218</v>
      </c>
      <c r="D6" s="5">
        <v>46326</v>
      </c>
      <c r="E6" s="6">
        <v>0.55000000000000004</v>
      </c>
      <c r="F6">
        <v>6</v>
      </c>
      <c r="G6" s="7">
        <v>90</v>
      </c>
      <c r="H6" s="7">
        <v>70</v>
      </c>
      <c r="I6" s="7">
        <f>G6+H6</f>
        <v>160</v>
      </c>
      <c r="J6" s="7">
        <f>MAX(0,D6-DATE(2026,9,22))</f>
        <v>39</v>
      </c>
    </row>
    <row r="7" spans="1:10" x14ac:dyDescent="0.3">
      <c r="A7" t="s">
        <v>16</v>
      </c>
      <c r="B7" t="s">
        <v>17</v>
      </c>
      <c r="C7" s="5">
        <v>46235</v>
      </c>
      <c r="D7" s="5">
        <v>46371</v>
      </c>
      <c r="E7" s="6">
        <v>0.31</v>
      </c>
      <c r="F7">
        <v>8</v>
      </c>
      <c r="G7" s="7">
        <v>60</v>
      </c>
      <c r="H7" s="7">
        <v>110</v>
      </c>
      <c r="I7" s="7">
        <f>G7+H7</f>
        <v>170</v>
      </c>
      <c r="J7" s="7">
        <f>MAX(0,D7-DATE(2026,9,22))</f>
        <v>84</v>
      </c>
    </row>
    <row r="8" spans="1:10" x14ac:dyDescent="0.3">
      <c r="A8" t="s">
        <v>18</v>
      </c>
      <c r="B8" t="s">
        <v>19</v>
      </c>
      <c r="C8" s="5">
        <v>46174</v>
      </c>
      <c r="D8" s="5">
        <v>46265</v>
      </c>
      <c r="E8" s="6">
        <v>1</v>
      </c>
      <c r="F8">
        <v>1</v>
      </c>
      <c r="G8" s="7">
        <v>80</v>
      </c>
      <c r="H8" s="7">
        <v>0</v>
      </c>
      <c r="I8" s="7">
        <f>G8+H8</f>
        <v>80</v>
      </c>
      <c r="J8" s="7">
        <f>MAX(0,D8-DATE(2026,9,22))</f>
        <v>0</v>
      </c>
    </row>
    <row r="9" spans="1:10" x14ac:dyDescent="0.3">
      <c r="A9" t="s">
        <v>20</v>
      </c>
      <c r="B9" t="s">
        <v>21</v>
      </c>
      <c r="C9" s="5">
        <v>46204</v>
      </c>
      <c r="D9" s="5">
        <v>46356</v>
      </c>
      <c r="E9" s="6">
        <v>0.47</v>
      </c>
      <c r="F9">
        <v>7</v>
      </c>
      <c r="G9" s="7">
        <v>70</v>
      </c>
      <c r="H9" s="7">
        <v>95</v>
      </c>
      <c r="I9" s="7">
        <f>G9+H9</f>
        <v>165</v>
      </c>
      <c r="J9" s="7">
        <f>MAX(0,D9-DATE(2026,9,22))</f>
        <v>69</v>
      </c>
    </row>
    <row r="10" spans="1:10" x14ac:dyDescent="0.3">
      <c r="A10" t="s">
        <v>22</v>
      </c>
      <c r="B10" t="s">
        <v>23</v>
      </c>
      <c r="C10" s="5">
        <v>46249</v>
      </c>
      <c r="D10" s="5">
        <v>46310</v>
      </c>
      <c r="E10" s="6">
        <v>0.64</v>
      </c>
      <c r="F10">
        <v>4</v>
      </c>
      <c r="G10" s="7">
        <v>50</v>
      </c>
      <c r="H10" s="7">
        <v>30</v>
      </c>
      <c r="I10" s="7">
        <f>G10+H10</f>
        <v>80</v>
      </c>
      <c r="J10" s="7">
        <f>MAX(0,D10-DATE(2026,9,22))</f>
        <v>23</v>
      </c>
    </row>
    <row r="11" spans="1:10" ht="17.25" thickBot="1" x14ac:dyDescent="0.35">
      <c r="A11" t="s">
        <v>24</v>
      </c>
      <c r="B11" t="s">
        <v>25</v>
      </c>
      <c r="C11" s="5">
        <v>46266</v>
      </c>
      <c r="D11" s="5">
        <v>46418</v>
      </c>
      <c r="E11" s="6">
        <v>0.12</v>
      </c>
      <c r="F11">
        <v>5</v>
      </c>
      <c r="G11" s="7">
        <v>30</v>
      </c>
      <c r="H11" s="7">
        <v>140</v>
      </c>
      <c r="I11" s="7">
        <f>G11+H11</f>
        <v>170</v>
      </c>
      <c r="J11" s="7">
        <f>MAX(0,D11-DATE(2026,9,22))</f>
        <v>131</v>
      </c>
    </row>
    <row r="12" spans="1:10" x14ac:dyDescent="0.3">
      <c r="A12" s="8" t="s">
        <v>26</v>
      </c>
      <c r="B12" s="8"/>
      <c r="C12" s="8"/>
      <c r="D12" s="8"/>
      <c r="E12" s="8"/>
      <c r="F12" s="8"/>
      <c r="G12" s="9">
        <f>SUM(G5:G11)</f>
        <v>500</v>
      </c>
      <c r="H12" s="9">
        <f>SUM(H5:H11)</f>
        <v>485</v>
      </c>
      <c r="I12" s="9">
        <f>SUM(I5:I11)</f>
        <v>985</v>
      </c>
      <c r="J12" s="8"/>
    </row>
  </sheetData>
  <phoneticPr fontId="1" type="noConversion"/>
  <conditionalFormatting sqref="E5:E11">
    <cfRule type="dataBar" priority="1">
      <dataBar>
        <cfvo type="min"/>
        <cfvo type="max"/>
        <color rgb="FF2E6BE6"/>
      </dataBar>
      <extLst>
        <ext xmlns:x14="http://schemas.microsoft.com/office/spreadsheetml/2009/9/main" uri="{B025F937-C7B1-47D3-B67F-A62EFF666E3E}">
          <x14:id>{8D32F4D5-4E81-49AA-BA0C-3D86AD8FA5BD}</x14:id>
        </ext>
      </extLst>
    </cfRule>
  </conditionalFormatting>
  <conditionalFormatting sqref="F5:F11">
    <cfRule type="colorScale" priority="2">
      <colorScale>
        <cfvo type="min"/>
        <cfvo type="percentile" val="50"/>
        <cfvo type="max"/>
        <color rgb="FFE3F1E8"/>
        <color rgb="FFFFF4D6"/>
        <color rgb="FFF6D3CF"/>
      </colorScale>
    </cfRule>
  </conditionalFormatting>
  <pageMargins left="0.7" right="0.7" top="0.75" bottom="0.75" header="0.3" footer="0.3"/>
  <pageSetup paperSize="9" fitToHeight="0" orientation="landscape" horizontalDpi="4294967293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32F4D5-4E81-49AA-BA0C-3D86AD8FA5BD}">
            <x14:dataBar minLength="0" maxLength="100" negativeBarColorSameAsPositive="1" axisPosition="none">
              <x14:cfvo type="min"/>
              <x14:cfvo type="max"/>
            </x14:dataBar>
          </x14:cfRule>
          <xm:sqref>E5:E11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프로젝트 현황</vt:lpstr>
      <vt:lpstr>'프로젝트 현황'!Print_Area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재무검토</dc:creator>
  <cp:lastModifiedBy>재무검토</cp:lastModifiedBy>
  <dcterms:created xsi:type="dcterms:W3CDTF">2026-09-23T10:01:42Z</dcterms:created>
  <dcterms:modified xsi:type="dcterms:W3CDTF">2026-09-23T10:01:50Z</dcterms:modified>
</cp:coreProperties>
</file>