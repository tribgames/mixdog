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3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  <sheet name="Data" sheetId="2" state="visible" r:id="rId4"/>
    <sheet name="Inputs" sheetId="3" state="visible" r:id="rId5"/>
  </sheets>
  <definedNames>
    <definedName function="false" hidden="false" localSheetId="0" name="_xlnm.Print_Area" vbProcedure="false">Report!$A$1:$M$26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B1" authorId="0">
      <text>
        <r>
          <rPr>
            <sz val="10"/>
            <rFont val="맑은 고딕"/>
            <family val="2"/>
          </rPr>
          <t xml:space="preserve">신규·확장·이탈 MRR과 고객 수: 재무팀 월 마감 (예시 수치), 단위 백만 원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4</xdr:col>
                <xdr:colOff>15</xdr:colOff>
                <xdr:row>3</xdr:row>
                <xdr:rowOff>14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Mixdog</author>
  </authors>
  <commentList>
    <comment ref="B3" authorId="0">
      <text>
        <r>
          <rPr>
            <sz val="10"/>
            <rFont val="맑은 고딕"/>
            <family val="2"/>
          </rPr>
          <t xml:space="preserve">2025-09 말 MRR, 재무팀 월 마감 (예시 수치)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2</xdr:row>
                <xdr:rowOff>2</xdr:rowOff>
              </xdr:from>
              <xdr:to>
                <xdr:col>4</xdr:col>
                <xdr:colOff>15</xdr:colOff>
                <xdr:row>5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<sst xmlns="http://schemas.openxmlformats.org/spreadsheetml/2006/main" count="38" uniqueCount="33">
  <si>
    <t xml:space="preserve">SAAS METRICS · 2026-09</t>
  </si>
  <si>
    <r>
      <rPr>
        <b val="true"/>
        <sz val="16"/>
        <color rgb="FF0A2540"/>
        <rFont val="맑은 고딕"/>
        <family val="2"/>
      </rPr>
      <t xml:space="preserve">확장이 이탈을 앞서며 </t>
    </r>
    <r>
      <rPr>
        <b val="true"/>
        <sz val="16"/>
        <color rgb="FF0A2540"/>
        <rFont val="Calibri"/>
        <family val="2"/>
        <charset val="1"/>
      </rPr>
      <t xml:space="preserve">MRR</t>
    </r>
    <r>
      <rPr>
        <b val="true"/>
        <sz val="16"/>
        <color rgb="FF0A2540"/>
        <rFont val="맑은 고딕"/>
        <family val="2"/>
      </rPr>
      <t xml:space="preserve">이 </t>
    </r>
    <r>
      <rPr>
        <b val="true"/>
        <sz val="16"/>
        <color rgb="FF0A2540"/>
        <rFont val="Calibri"/>
        <family val="2"/>
        <charset val="1"/>
      </rPr>
      <t xml:space="preserve">1</t>
    </r>
    <r>
      <rPr>
        <b val="true"/>
        <sz val="16"/>
        <color rgb="FF0A2540"/>
        <rFont val="맑은 고딕"/>
        <family val="2"/>
      </rPr>
      <t xml:space="preserve">년 만에 두 배를 넘었다</t>
    </r>
  </si>
  <si>
    <r>
      <rPr>
        <sz val="10"/>
        <color rgb="FF6B7280"/>
        <rFont val="Calibri"/>
        <family val="2"/>
        <charset val="1"/>
      </rPr>
      <t xml:space="preserve">2025-10 ~ 2026-09 · </t>
    </r>
    <r>
      <rPr>
        <sz val="10"/>
        <color rgb="FF6B7280"/>
        <rFont val="맑은 고딕"/>
        <family val="2"/>
      </rPr>
      <t xml:space="preserve">단위</t>
    </r>
    <r>
      <rPr>
        <sz val="10"/>
        <color rgb="FF6B7280"/>
        <rFont val="Calibri"/>
        <family val="2"/>
        <charset val="1"/>
      </rPr>
      <t xml:space="preserve">: </t>
    </r>
    <r>
      <rPr>
        <sz val="10"/>
        <color rgb="FF6B7280"/>
        <rFont val="맑은 고딕"/>
        <family val="2"/>
      </rPr>
      <t xml:space="preserve">백만 원 </t>
    </r>
    <r>
      <rPr>
        <sz val="10"/>
        <color rgb="FF6B7280"/>
        <rFont val="Calibri"/>
        <family val="2"/>
        <charset val="1"/>
      </rPr>
      <t xml:space="preserve">· </t>
    </r>
    <r>
      <rPr>
        <sz val="10"/>
        <color rgb="FF6B7280"/>
        <rFont val="맑은 고딕"/>
        <family val="2"/>
      </rPr>
      <t xml:space="preserve">예시 수치</t>
    </r>
  </si>
  <si>
    <r>
      <rPr>
        <sz val="9"/>
        <color rgb="FF6B7280"/>
        <rFont val="맑은 고딕"/>
        <family val="2"/>
      </rPr>
      <t xml:space="preserve">기말 </t>
    </r>
    <r>
      <rPr>
        <sz val="9"/>
        <color rgb="FF6B7280"/>
        <rFont val="Calibri"/>
        <family val="2"/>
        <charset val="1"/>
      </rPr>
      <t xml:space="preserve">MRR</t>
    </r>
  </si>
  <si>
    <r>
      <rPr>
        <sz val="9"/>
        <color rgb="FF6B7280"/>
        <rFont val="Calibri"/>
        <family val="2"/>
        <charset val="1"/>
      </rPr>
      <t xml:space="preserve">12</t>
    </r>
    <r>
      <rPr>
        <sz val="9"/>
        <color rgb="FF6B7280"/>
        <rFont val="맑은 고딕"/>
        <family val="2"/>
      </rPr>
      <t xml:space="preserve">개월 순증</t>
    </r>
  </si>
  <si>
    <t xml:space="preserve">순 매출 유지율</t>
  </si>
  <si>
    <t xml:space="preserve">고객 수</t>
  </si>
  <si>
    <r>
      <rPr>
        <sz val="9"/>
        <color rgb="FF6B7280"/>
        <rFont val="Calibri"/>
        <family val="2"/>
        <charset val="1"/>
      </rPr>
      <t xml:space="preserve">2026-09 </t>
    </r>
    <r>
      <rPr>
        <sz val="9"/>
        <color rgb="FF6B7280"/>
        <rFont val="맑은 고딕"/>
        <family val="2"/>
      </rPr>
      <t xml:space="preserve">말</t>
    </r>
  </si>
  <si>
    <t xml:space="preserve">2025-10 ~ 2026-09</t>
  </si>
  <si>
    <t xml:space="preserve">기초 고객 기준</t>
  </si>
  <si>
    <t xml:space="preserve">월</t>
  </si>
  <si>
    <r>
      <rPr>
        <b val="true"/>
        <sz val="11"/>
        <color rgb="FF000000"/>
        <rFont val="맑은 고딕"/>
        <family val="2"/>
      </rPr>
      <t xml:space="preserve">기말 </t>
    </r>
    <r>
      <rPr>
        <b val="true"/>
        <sz val="11"/>
        <color rgb="FF000000"/>
        <rFont val="Calibri"/>
        <family val="2"/>
        <charset val="1"/>
      </rPr>
      <t xml:space="preserve">MRR</t>
    </r>
  </si>
  <si>
    <r>
      <rPr>
        <b val="true"/>
        <sz val="11"/>
        <color rgb="FF000000"/>
        <rFont val="맑은 고딕"/>
        <family val="2"/>
      </rPr>
      <t xml:space="preserve">순증 </t>
    </r>
    <r>
      <rPr>
        <b val="true"/>
        <sz val="11"/>
        <color rgb="FF000000"/>
        <rFont val="Calibri"/>
        <family val="2"/>
        <charset val="1"/>
      </rPr>
      <t xml:space="preserve">MRR</t>
    </r>
  </si>
  <si>
    <r>
      <rPr>
        <b val="true"/>
        <sz val="11"/>
        <color rgb="FF000000"/>
        <rFont val="맑은 고딕"/>
        <family val="2"/>
      </rPr>
      <t xml:space="preserve">신규 </t>
    </r>
    <r>
      <rPr>
        <b val="true"/>
        <sz val="11"/>
        <color rgb="FF000000"/>
        <rFont val="Calibri"/>
        <family val="2"/>
        <charset val="1"/>
      </rPr>
      <t xml:space="preserve">MRR</t>
    </r>
  </si>
  <si>
    <r>
      <rPr>
        <b val="true"/>
        <sz val="11"/>
        <color rgb="FF000000"/>
        <rFont val="맑은 고딕"/>
        <family val="2"/>
      </rPr>
      <t xml:space="preserve">확장 </t>
    </r>
    <r>
      <rPr>
        <b val="true"/>
        <sz val="11"/>
        <color rgb="FF000000"/>
        <rFont val="Calibri"/>
        <family val="2"/>
        <charset val="1"/>
      </rPr>
      <t xml:space="preserve">MRR</t>
    </r>
  </si>
  <si>
    <r>
      <rPr>
        <b val="true"/>
        <sz val="11"/>
        <color rgb="FF000000"/>
        <rFont val="맑은 고딕"/>
        <family val="2"/>
      </rPr>
      <t xml:space="preserve">이탈 </t>
    </r>
    <r>
      <rPr>
        <b val="true"/>
        <sz val="11"/>
        <color rgb="FF000000"/>
        <rFont val="Calibri"/>
        <family val="2"/>
        <charset val="1"/>
      </rPr>
      <t xml:space="preserve">MRR</t>
    </r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</si>
  <si>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</si>
  <si>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</si>
  <si>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</si>
  <si>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</si>
  <si>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</si>
  <si>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</si>
  <si>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</si>
  <si>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</si>
  <si>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</si>
  <si>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</si>
  <si>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</si>
  <si>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</si>
  <si>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항목</t>
  </si>
  <si>
    <t xml:space="preserve">값</t>
  </si>
  <si>
    <t xml:space="preserve">기준 월</t>
  </si>
  <si>
    <t xml:space="preserve">2025-09</t>
  </si>
  <si>
    <r>
      <rPr>
        <sz val="11"/>
        <color rgb="FF000000"/>
        <rFont val="맑은 고딕"/>
        <family val="2"/>
      </rPr>
      <t xml:space="preserve">기초 </t>
    </r>
    <r>
      <rPr>
        <sz val="11"/>
        <color rgb="FF000000"/>
        <rFont val="Calibri"/>
        <family val="2"/>
        <charset val="1"/>
      </rPr>
      <t xml:space="preserve">MRR (</t>
    </r>
    <r>
      <rPr>
        <sz val="11"/>
        <color rgb="FF000000"/>
        <rFont val="맑은 고딕"/>
        <family val="2"/>
      </rPr>
      <t xml:space="preserve">백만 원</t>
    </r>
    <r>
      <rPr>
        <sz val="11"/>
        <color rgb="FF000000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</si>
</sst>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1">
    <font>
      <sz val="11"/>
      <color rgb="FF000000"/>
      <name val="Calibri"/>
      <family val="2"/>
    </font>
    <font>
      <sz val="10"/>
      <name val="Calibri"/>
      <family val="0"/>
    </font>
    <font>
      <sz val="10"/>
      <name val="Calibri"/>
      <family val="0"/>
    </font>
    <font>
      <sz val="10"/>
      <name val="Calibri"/>
      <family val="0"/>
    </font>
    <font>
      <b val="true"/>
      <sz val="9"/>
      <color rgb="FF533AFD"/>
      <name val="Calibri"/>
      <family val="2"/>
      <charset val="1"/>
    </font>
    <font>
      <b val="true"/>
      <sz val="16"/>
      <color rgb="FF0A2540"/>
      <name val="Calibri"/>
      <family val="2"/>
    </font>
    <font>
      <b val="true"/>
      <sz val="16"/>
      <color rgb="FF0A2540"/>
      <name val="Calibri"/>
      <family val="2"/>
      <charset val="1"/>
    </font>
    <font>
      <sz val="10"/>
      <color rgb="FF6B7280"/>
      <name val="Calibri"/>
      <family val="2"/>
      <charset val="1"/>
    </font>
    <font>
      <sz val="10"/>
      <color rgb="FF6B7280"/>
      <name val="Calibri"/>
      <family val="2"/>
    </font>
    <font>
      <sz val="9"/>
      <color rgb="FF6B7280"/>
      <name val="맑은 고딕"/>
      <family val="2"/>
    </font>
    <font>
      <sz val="9"/>
      <color rgb="FF6B7280"/>
      <name val="Calibri"/>
      <family val="2"/>
      <charset val="1"/>
    </font>
    <font>
      <b val="true"/>
      <sz val="20"/>
      <color rgb="FF0A2540"/>
      <name val="Calibri"/>
      <family val="2"/>
      <charset val="1"/>
    </font>
    <font>
      <b val="true"/>
      <sz val="20"/>
      <color rgb="FF533AFD"/>
      <name val="Calibri"/>
      <family val="2"/>
      <charset val="1"/>
    </font>
    <font>
      <b val="true"/>
      <sz val="11"/>
      <color rgb="FF000000"/>
      <name val="맑은 고딕"/>
      <family val="2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2"/>
      <color rgb="FF171717"/>
      <name val="맑은 고딕"/>
      <family val="2"/>
    </font>
    <font>
      <b val="true"/>
      <sz val="12"/>
      <color rgb="FF171717"/>
      <name val="Arial"/>
      <family val="2"/>
    </font>
    <font>
      <sz val="9"/>
      <color rgb="FF5F6368"/>
      <name val="맑은 고딕"/>
      <family val="2"/>
    </font>
    <font>
      <sz val="11"/>
      <color rgb="FF0000FF"/>
      <name val="Calibri"/>
      <family val="2"/>
      <charset val="1"/>
    </font>
    <font>
      <sz val="10"/>
      <name val="맑은 고딕"/>
      <family val="2"/>
    </font>
  </fonts>
  <fills count="3">
    <fill>
      <patternFill patternType="none"/>
    </fill>
    <fill>
      <patternFill patternType="gray125"/>
    </fill>
    <fill>
      <patternFill patternType="solid">
        <fgColor rgb="FFEEF2F7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2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CBD1"/>
      <rgbColor rgb="FF5F6368"/>
      <rgbColor rgb="FF9999FF"/>
      <rgbColor rgb="FF993366"/>
      <rgbColor rgb="FFFFFFCC"/>
      <rgbColor rgb="FFE7E9EC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A2540"/>
      <rgbColor rgb="FF339966"/>
      <rgbColor rgb="FF171717"/>
      <rgbColor rgb="FF333300"/>
      <rgbColor rgb="FF993300"/>
      <rgbColor rgb="FF993366"/>
      <rgbColor rgb="FF533AF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200" b="1" u="none" strike="noStrike">
                <a:solidFill>
                  <a:srgbClr val="171717"/>
                </a:solidFill>
                <a:uFillTx/>
                <a:latin typeface="Arial"/>
              </a:rPr>
              <a:t>기말 MRR (백만 원)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Report!$B$9</c:f>
              <c:strCache>
                <c:ptCount val="1"/>
                <c:pt idx="0">
                  <c:v>기말 MRR</c:v>
                </c:pt>
              </c:strCache>
            </c:strRef>
          </c:tx>
          <c:spPr>
            <a:solidFill>
              <a:srgbClr val="533AF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Report!$A$10:$A$21</c:f>
              <c:strCache>
                <c:ptCount val="12"/>
                <c:pt idx="0">
                  <c:v>2025-10</c:v>
                </c:pt>
                <c:pt idx="1">
                  <c:v>2025-11</c:v>
                </c:pt>
                <c:pt idx="2">
                  <c:v>2025-12</c:v>
                </c:pt>
                <c:pt idx="3">
                  <c:v>2026-01</c:v>
                </c:pt>
                <c:pt idx="4">
                  <c:v>2026-02</c:v>
                </c:pt>
                <c:pt idx="5">
                  <c:v>2026-03</c:v>
                </c:pt>
                <c:pt idx="6">
                  <c:v>2026-04</c:v>
                </c:pt>
                <c:pt idx="7">
                  <c:v>2026-05</c:v>
                </c:pt>
                <c:pt idx="8">
                  <c:v>2026-06</c:v>
                </c:pt>
                <c:pt idx="9">
                  <c:v>2026-07</c:v>
                </c:pt>
                <c:pt idx="10">
                  <c:v>2026-08</c:v>
                </c:pt>
                <c:pt idx="11">
                  <c:v>2026-09</c:v>
                </c:pt>
              </c:strCache>
            </c:strRef>
          </c:cat>
          <c:val>
            <c:numRef>
              <c:f>Report!$B$10:$B$21</c:f>
              <c:numCache>
                <c:formatCode>#,##0</c:formatCode>
                <c:ptCount val="12"/>
                <c:pt idx="0">
                  <c:v>879</c:v>
                </c:pt>
                <c:pt idx="1">
                  <c:v>933</c:v>
                </c:pt>
                <c:pt idx="2">
                  <c:v>995</c:v>
                </c:pt>
                <c:pt idx="3">
                  <c:v>1069</c:v>
                </c:pt>
                <c:pt idx="4">
                  <c:v>1139</c:v>
                </c:pt>
                <c:pt idx="5">
                  <c:v>1216</c:v>
                </c:pt>
                <c:pt idx="6">
                  <c:v>1305</c:v>
                </c:pt>
                <c:pt idx="7">
                  <c:v>1390</c:v>
                </c:pt>
                <c:pt idx="8">
                  <c:v>1484</c:v>
                </c:pt>
                <c:pt idx="9">
                  <c:v>1587</c:v>
                </c:pt>
                <c:pt idx="10">
                  <c:v>1695</c:v>
                </c:pt>
                <c:pt idx="11">
                  <c:v>1812</c:v>
                </c:pt>
              </c:numCache>
            </c:numRef>
          </c:val>
        </c:ser>
        <c:gapWidth val="90"/>
        <c:overlap val="-20"/>
        <c:axId val="69873216"/>
        <c:axId val="85145128"/>
      </c:barChart>
      <c:catAx>
        <c:axId val="6987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7CBD1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85145128"/>
        <c:crosses val="autoZero"/>
        <c:auto val="1"/>
        <c:lblAlgn val="ctr"/>
        <c:lblOffset val="100"/>
        <c:noMultiLvlLbl val="0"/>
      </c:catAx>
      <c:valAx>
        <c:axId val="8514512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7E9EC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F6368"/>
                </a:solidFill>
                <a:uFillTx/>
                <a:latin typeface="Arial"/>
              </a:defRPr>
            </a:pPr>
          </a:p>
        </c:txPr>
        <c:crossAx val="698732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noFill/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8</xdr:row>
      <xdr:rowOff>0</xdr:rowOff>
    </xdr:from>
    <xdr:to>
      <xdr:col>13</xdr:col>
      <xdr:colOff>338040</xdr:colOff>
      <xdr:row>24</xdr:row>
      <xdr:rowOff>108720</xdr:rowOff>
    </xdr:to>
    <xdr:graphicFrame>
      <xdr:nvGraphicFramePr>
        <xdr:cNvPr id="1" name="Chart 1"/>
        <xdr:cNvGraphicFramePr/>
      </xdr:nvGraphicFramePr>
      <xdr:xfrm>
        <a:off x="4440600" y="1737360"/>
        <a:ext cx="5841720" cy="3174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12"/>
    <col collapsed="false" customWidth="1" hidden="false" outlineLevel="0" max="2" min="2" style="0" width="19"/>
    <col collapsed="false" customWidth="1" hidden="false" outlineLevel="0" max="3" min="3" style="0" width="16"/>
    <col collapsed="false" customWidth="1" hidden="false" outlineLevel="0" max="4" min="4" style="0" width="12"/>
  </cols>
  <sheetData>
    <row r="1" customFormat="false" ht="15" hidden="false" customHeight="false" outlineLevel="0" collapsed="false">
      <c r="A1" s="1" t="s">
        <v>0</v>
      </c>
    </row>
    <row r="2" customFormat="false" ht="22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4" t="s">
        <v>5</v>
      </c>
      <c r="D5" s="4" t="s">
        <v>6</v>
      </c>
    </row>
    <row r="6" customFormat="false" ht="24.45" hidden="false" customHeight="false" outlineLevel="0" collapsed="false">
      <c r="A6" s="6" t="n">
        <f aca="false">Data!F13</f>
        <v>1812</v>
      </c>
      <c r="B6" s="6" t="n">
        <f aca="false">SUM(Data!E2:E13)</f>
        <v>992</v>
      </c>
      <c r="C6" s="7" t="n">
        <f aca="false">(Inputs!B3+SUM(Data!C2:C13)-SUM(Data!D2:D13))/Inputs!B3</f>
        <v>1.09268292682927</v>
      </c>
      <c r="D6" s="6" t="n">
        <f aca="false">Data!G13</f>
        <v>1580</v>
      </c>
    </row>
    <row r="7" customFormat="false" ht="15" hidden="false" customHeight="false" outlineLevel="0" collapsed="false">
      <c r="A7" s="8" t="s">
        <v>7</v>
      </c>
      <c r="B7" s="8" t="s">
        <v>8</v>
      </c>
      <c r="C7" s="9" t="s">
        <v>9</v>
      </c>
      <c r="D7" s="8" t="s">
        <v>7</v>
      </c>
    </row>
    <row r="9" customFormat="false" ht="16.4" hidden="false" customHeight="false" outlineLevel="0" collapsed="false">
      <c r="A9" s="10" t="s">
        <v>10</v>
      </c>
      <c r="B9" s="11" t="s">
        <v>11</v>
      </c>
      <c r="C9" s="11" t="s">
        <v>12</v>
      </c>
    </row>
    <row r="10" customFormat="false" ht="15" hidden="false" customHeight="false" outlineLevel="0" collapsed="false">
      <c r="A10" s="0" t="str">
        <f aca="false">Data!A2</f>
        <v>2025-10</v>
      </c>
      <c r="B10" s="12" t="n">
        <f aca="false">Data!F2</f>
        <v>879</v>
      </c>
      <c r="C10" s="12" t="n">
        <f aca="false">Data!E2</f>
        <v>59</v>
      </c>
    </row>
    <row r="11" customFormat="false" ht="15" hidden="false" customHeight="false" outlineLevel="0" collapsed="false">
      <c r="A11" s="0" t="str">
        <f aca="false">Data!A3</f>
        <v>2025-11</v>
      </c>
      <c r="B11" s="12" t="n">
        <f aca="false">Data!F3</f>
        <v>933</v>
      </c>
      <c r="C11" s="12" t="n">
        <f aca="false">Data!E3</f>
        <v>54</v>
      </c>
    </row>
    <row r="12" customFormat="false" ht="15" hidden="false" customHeight="false" outlineLevel="0" collapsed="false">
      <c r="A12" s="0" t="str">
        <f aca="false">Data!A4</f>
        <v>2025-12</v>
      </c>
      <c r="B12" s="12" t="n">
        <f aca="false">Data!F4</f>
        <v>995</v>
      </c>
      <c r="C12" s="12" t="n">
        <f aca="false">Data!E4</f>
        <v>62</v>
      </c>
    </row>
    <row r="13" customFormat="false" ht="15" hidden="false" customHeight="false" outlineLevel="0" collapsed="false">
      <c r="A13" s="0" t="str">
        <f aca="false">Data!A5</f>
        <v>2026-01</v>
      </c>
      <c r="B13" s="12" t="n">
        <f aca="false">Data!F5</f>
        <v>1069</v>
      </c>
      <c r="C13" s="12" t="n">
        <f aca="false">Data!E5</f>
        <v>74</v>
      </c>
    </row>
    <row r="14" customFormat="false" ht="15" hidden="false" customHeight="false" outlineLevel="0" collapsed="false">
      <c r="A14" s="0" t="str">
        <f aca="false">Data!A6</f>
        <v>2026-02</v>
      </c>
      <c r="B14" s="12" t="n">
        <f aca="false">Data!F6</f>
        <v>1139</v>
      </c>
      <c r="C14" s="12" t="n">
        <f aca="false">Data!E6</f>
        <v>70</v>
      </c>
    </row>
    <row r="15" customFormat="false" ht="15" hidden="false" customHeight="false" outlineLevel="0" collapsed="false">
      <c r="A15" s="0" t="str">
        <f aca="false">Data!A7</f>
        <v>2026-03</v>
      </c>
      <c r="B15" s="12" t="n">
        <f aca="false">Data!F7</f>
        <v>1216</v>
      </c>
      <c r="C15" s="12" t="n">
        <f aca="false">Data!E7</f>
        <v>77</v>
      </c>
    </row>
    <row r="16" customFormat="false" ht="15" hidden="false" customHeight="false" outlineLevel="0" collapsed="false">
      <c r="A16" s="0" t="str">
        <f aca="false">Data!A8</f>
        <v>2026-04</v>
      </c>
      <c r="B16" s="12" t="n">
        <f aca="false">Data!F8</f>
        <v>1305</v>
      </c>
      <c r="C16" s="12" t="n">
        <f aca="false">Data!E8</f>
        <v>89</v>
      </c>
    </row>
    <row r="17" customFormat="false" ht="15" hidden="false" customHeight="false" outlineLevel="0" collapsed="false">
      <c r="A17" s="0" t="str">
        <f aca="false">Data!A9</f>
        <v>2026-05</v>
      </c>
      <c r="B17" s="12" t="n">
        <f aca="false">Data!F9</f>
        <v>1390</v>
      </c>
      <c r="C17" s="12" t="n">
        <f aca="false">Data!E9</f>
        <v>85</v>
      </c>
    </row>
    <row r="18" customFormat="false" ht="15" hidden="false" customHeight="false" outlineLevel="0" collapsed="false">
      <c r="A18" s="0" t="str">
        <f aca="false">Data!A10</f>
        <v>2026-06</v>
      </c>
      <c r="B18" s="12" t="n">
        <f aca="false">Data!F10</f>
        <v>1484</v>
      </c>
      <c r="C18" s="12" t="n">
        <f aca="false">Data!E10</f>
        <v>94</v>
      </c>
    </row>
    <row r="19" customFormat="false" ht="15" hidden="false" customHeight="false" outlineLevel="0" collapsed="false">
      <c r="A19" s="0" t="str">
        <f aca="false">Data!A11</f>
        <v>2026-07</v>
      </c>
      <c r="B19" s="12" t="n">
        <f aca="false">Data!F11</f>
        <v>1587</v>
      </c>
      <c r="C19" s="12" t="n">
        <f aca="false">Data!E11</f>
        <v>103</v>
      </c>
    </row>
    <row r="20" customFormat="false" ht="15" hidden="false" customHeight="false" outlineLevel="0" collapsed="false">
      <c r="A20" s="0" t="str">
        <f aca="false">Data!A12</f>
        <v>2026-08</v>
      </c>
      <c r="B20" s="12" t="n">
        <f aca="false">Data!F12</f>
        <v>1695</v>
      </c>
      <c r="C20" s="12" t="n">
        <f aca="false">Data!E12</f>
        <v>108</v>
      </c>
    </row>
    <row r="21" customFormat="false" ht="15" hidden="false" customHeight="false" outlineLevel="0" collapsed="false">
      <c r="A21" s="0" t="str">
        <f aca="false">Data!A13</f>
        <v>2026-09</v>
      </c>
      <c r="B21" s="12" t="n">
        <f aca="false">Data!F13</f>
        <v>1812</v>
      </c>
      <c r="C21" s="12" t="n">
        <f aca="false">Data!E13</f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9"/>
    <col collapsed="false" customWidth="1" hidden="false" outlineLevel="0" max="2" min="2" style="0" width="10"/>
    <col collapsed="false" customWidth="1" hidden="false" outlineLevel="0" max="3" min="3" style="0" width="10"/>
    <col collapsed="false" customWidth="1" hidden="false" outlineLevel="0" max="4" min="4" style="0" width="10"/>
    <col collapsed="false" customWidth="1" hidden="false" outlineLevel="0" max="5" min="5" style="0" width="10"/>
    <col collapsed="false" customWidth="1" hidden="false" outlineLevel="0" max="6" min="6" style="0" width="10"/>
    <col collapsed="false" customWidth="1" hidden="false" outlineLevel="0" max="7" min="7" style="0" width="9"/>
  </cols>
  <sheetData>
    <row r="1" customFormat="false" ht="16.4" hidden="false" customHeight="false" outlineLevel="0" collapsed="false">
      <c r="A1" s="13" t="s">
        <v>10</v>
      </c>
      <c r="B1" s="14" t="s">
        <v>13</v>
      </c>
      <c r="C1" s="14" t="s">
        <v>14</v>
      </c>
      <c r="D1" s="14" t="s">
        <v>15</v>
      </c>
      <c r="E1" s="14" t="s">
        <v>12</v>
      </c>
      <c r="F1" s="14" t="s">
        <v>11</v>
      </c>
      <c r="G1" s="14" t="s">
        <v>6</v>
      </c>
    </row>
    <row r="2" customFormat="false" ht="15" hidden="false" customHeight="false" outlineLevel="0" collapsed="false">
      <c r="A2" s="15" t="s">
        <v>16</v>
      </c>
      <c r="B2" s="16" t="n">
        <v>62</v>
      </c>
      <c r="C2" s="16" t="n">
        <v>18</v>
      </c>
      <c r="D2" s="16" t="n">
        <v>21</v>
      </c>
      <c r="E2" s="12" t="n">
        <f aca="false">B2+C2-D2</f>
        <v>59</v>
      </c>
      <c r="F2" s="12" t="n">
        <f aca="false">Inputs!B3+E2</f>
        <v>879</v>
      </c>
      <c r="G2" s="12" t="n">
        <v>1210</v>
      </c>
    </row>
    <row r="3" customFormat="false" ht="15" hidden="false" customHeight="false" outlineLevel="0" collapsed="false">
      <c r="A3" s="15" t="s">
        <v>17</v>
      </c>
      <c r="B3" s="16" t="n">
        <v>58</v>
      </c>
      <c r="C3" s="16" t="n">
        <v>20</v>
      </c>
      <c r="D3" s="16" t="n">
        <v>24</v>
      </c>
      <c r="E3" s="12" t="n">
        <f aca="false">B3+C3-D3</f>
        <v>54</v>
      </c>
      <c r="F3" s="12" t="n">
        <f aca="false">F2+E3</f>
        <v>933</v>
      </c>
      <c r="G3" s="12" t="n">
        <v>1236</v>
      </c>
    </row>
    <row r="4" customFormat="false" ht="15" hidden="false" customHeight="false" outlineLevel="0" collapsed="false">
      <c r="A4" s="15" t="s">
        <v>18</v>
      </c>
      <c r="B4" s="16" t="n">
        <v>65</v>
      </c>
      <c r="C4" s="16" t="n">
        <v>19</v>
      </c>
      <c r="D4" s="16" t="n">
        <v>22</v>
      </c>
      <c r="E4" s="12" t="n">
        <f aca="false">B4+C4-D4</f>
        <v>62</v>
      </c>
      <c r="F4" s="12" t="n">
        <f aca="false">F3+E4</f>
        <v>995</v>
      </c>
      <c r="G4" s="12" t="n">
        <v>1265</v>
      </c>
    </row>
    <row r="5" customFormat="false" ht="15" hidden="false" customHeight="false" outlineLevel="0" collapsed="false">
      <c r="A5" s="15" t="s">
        <v>19</v>
      </c>
      <c r="B5" s="16" t="n">
        <v>71</v>
      </c>
      <c r="C5" s="16" t="n">
        <v>23</v>
      </c>
      <c r="D5" s="16" t="n">
        <v>20</v>
      </c>
      <c r="E5" s="12" t="n">
        <f aca="false">B5+C5-D5</f>
        <v>74</v>
      </c>
      <c r="F5" s="12" t="n">
        <f aca="false">F4+E5</f>
        <v>1069</v>
      </c>
      <c r="G5" s="12" t="n">
        <v>1298</v>
      </c>
    </row>
    <row r="6" customFormat="false" ht="15" hidden="false" customHeight="false" outlineLevel="0" collapsed="false">
      <c r="A6" s="15" t="s">
        <v>20</v>
      </c>
      <c r="B6" s="16" t="n">
        <v>68</v>
      </c>
      <c r="C6" s="16" t="n">
        <v>25</v>
      </c>
      <c r="D6" s="16" t="n">
        <v>23</v>
      </c>
      <c r="E6" s="12" t="n">
        <f aca="false">B6+C6-D6</f>
        <v>70</v>
      </c>
      <c r="F6" s="12" t="n">
        <f aca="false">F5+E6</f>
        <v>1139</v>
      </c>
      <c r="G6" s="12" t="n">
        <v>1327</v>
      </c>
    </row>
    <row r="7" customFormat="false" ht="15" hidden="false" customHeight="false" outlineLevel="0" collapsed="false">
      <c r="A7" s="15" t="s">
        <v>21</v>
      </c>
      <c r="B7" s="16" t="n">
        <v>74</v>
      </c>
      <c r="C7" s="16" t="n">
        <v>24</v>
      </c>
      <c r="D7" s="16" t="n">
        <v>21</v>
      </c>
      <c r="E7" s="12" t="n">
        <f aca="false">B7+C7-D7</f>
        <v>77</v>
      </c>
      <c r="F7" s="12" t="n">
        <f aca="false">F6+E7</f>
        <v>1216</v>
      </c>
      <c r="G7" s="12" t="n">
        <v>1359</v>
      </c>
    </row>
    <row r="8" customFormat="false" ht="15" hidden="false" customHeight="false" outlineLevel="0" collapsed="false">
      <c r="A8" s="15" t="s">
        <v>22</v>
      </c>
      <c r="B8" s="16" t="n">
        <v>80</v>
      </c>
      <c r="C8" s="16" t="n">
        <v>28</v>
      </c>
      <c r="D8" s="16" t="n">
        <v>19</v>
      </c>
      <c r="E8" s="12" t="n">
        <f aca="false">B8+C8-D8</f>
        <v>89</v>
      </c>
      <c r="F8" s="12" t="n">
        <f aca="false">F7+E8</f>
        <v>1305</v>
      </c>
      <c r="G8" s="12" t="n">
        <v>1394</v>
      </c>
    </row>
    <row r="9" customFormat="false" ht="15" hidden="false" customHeight="false" outlineLevel="0" collapsed="false">
      <c r="A9" s="15" t="s">
        <v>23</v>
      </c>
      <c r="B9" s="16" t="n">
        <v>77</v>
      </c>
      <c r="C9" s="16" t="n">
        <v>30</v>
      </c>
      <c r="D9" s="16" t="n">
        <v>22</v>
      </c>
      <c r="E9" s="12" t="n">
        <f aca="false">B9+C9-D9</f>
        <v>85</v>
      </c>
      <c r="F9" s="12" t="n">
        <f aca="false">F8+E9</f>
        <v>1390</v>
      </c>
      <c r="G9" s="12" t="n">
        <v>1426</v>
      </c>
    </row>
    <row r="10" customFormat="false" ht="15" hidden="false" customHeight="false" outlineLevel="0" collapsed="false">
      <c r="A10" s="15" t="s">
        <v>24</v>
      </c>
      <c r="B10" s="16" t="n">
        <v>85</v>
      </c>
      <c r="C10" s="16" t="n">
        <v>29</v>
      </c>
      <c r="D10" s="16" t="n">
        <v>20</v>
      </c>
      <c r="E10" s="12" t="n">
        <f aca="false">B10+C10-D10</f>
        <v>94</v>
      </c>
      <c r="F10" s="12" t="n">
        <f aca="false">F9+E10</f>
        <v>1484</v>
      </c>
      <c r="G10" s="12" t="n">
        <v>1463</v>
      </c>
    </row>
    <row r="11" customFormat="false" ht="15" hidden="false" customHeight="false" outlineLevel="0" collapsed="false">
      <c r="A11" s="15" t="s">
        <v>25</v>
      </c>
      <c r="B11" s="16" t="n">
        <v>88</v>
      </c>
      <c r="C11" s="16" t="n">
        <v>33</v>
      </c>
      <c r="D11" s="16" t="n">
        <v>18</v>
      </c>
      <c r="E11" s="12" t="n">
        <f aca="false">B11+C11-D11</f>
        <v>103</v>
      </c>
      <c r="F11" s="12" t="n">
        <f aca="false">F10+E11</f>
        <v>1587</v>
      </c>
      <c r="G11" s="12" t="n">
        <v>1499</v>
      </c>
    </row>
    <row r="12" customFormat="false" ht="15" hidden="false" customHeight="false" outlineLevel="0" collapsed="false">
      <c r="A12" s="15" t="s">
        <v>26</v>
      </c>
      <c r="B12" s="16" t="n">
        <v>92</v>
      </c>
      <c r="C12" s="16" t="n">
        <v>35</v>
      </c>
      <c r="D12" s="16" t="n">
        <v>19</v>
      </c>
      <c r="E12" s="12" t="n">
        <f aca="false">B12+C12-D12</f>
        <v>108</v>
      </c>
      <c r="F12" s="12" t="n">
        <f aca="false">F11+E12</f>
        <v>1695</v>
      </c>
      <c r="G12" s="12" t="n">
        <v>1538</v>
      </c>
    </row>
    <row r="13" customFormat="false" ht="15" hidden="false" customHeight="false" outlineLevel="0" collapsed="false">
      <c r="A13" s="15" t="s">
        <v>27</v>
      </c>
      <c r="B13" s="16" t="n">
        <v>96</v>
      </c>
      <c r="C13" s="16" t="n">
        <v>38</v>
      </c>
      <c r="D13" s="16" t="n">
        <v>17</v>
      </c>
      <c r="E13" s="12" t="n">
        <f aca="false">B13+C13-D13</f>
        <v>117</v>
      </c>
      <c r="F13" s="12" t="n">
        <f aca="false">F12+E13</f>
        <v>1812</v>
      </c>
      <c r="G13" s="12" t="n">
        <v>1580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9609375" defaultRowHeight="15" customHeight="false" zeroHeight="false" outlineLevelRow="0" outlineLevelCol="0"/>
  <cols>
    <col collapsed="false" customWidth="1" hidden="false" outlineLevel="0" max="1" min="1" style="0" width="20"/>
    <col collapsed="false" customWidth="1" hidden="false" outlineLevel="0" max="2" min="2" style="0" width="9"/>
  </cols>
  <sheetData>
    <row r="1" customFormat="false" ht="15" hidden="false" customHeight="false" outlineLevel="0" collapsed="false">
      <c r="A1" s="10" t="s">
        <v>28</v>
      </c>
      <c r="B1" s="10" t="s">
        <v>29</v>
      </c>
    </row>
    <row r="2" customFormat="false" ht="15" hidden="false" customHeight="false" outlineLevel="0" collapsed="false">
      <c r="A2" s="17" t="s">
        <v>30</v>
      </c>
      <c r="B2" s="15" t="s">
        <v>31</v>
      </c>
    </row>
    <row r="3" customFormat="false" ht="16.4" hidden="false" customHeight="false" outlineLevel="0" collapsed="false">
      <c r="A3" s="17" t="s">
        <v>32</v>
      </c>
      <c r="B3" s="16" t="n">
        <v>820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2026-09-23T07:43:30Z</dcterms:created>
  <dc:creator>Mixdog</dc:creator>
  <dc:description/>
  <dc:language>ko-KR</dc:language>
  <cp:lastModifiedBy>Mixdog</cp:lastModifiedBy>
  <dcterms:modified xsi:type="dcterms:W3CDTF">2026-09-23T07:43:30Z</dcterms:modified>
  <cp:revision>0</cp:revision>
  <dc:subject/>
  <dc:title>saas-metrics</dc:title>
</cp:coreProperties>
</file>