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상세 데이터" sheetId="2" state="visible" r:id="rId4"/>
    <sheet name="메뉴 분석" sheetId="3" state="visible" r:id="rId5"/>
    <sheet name="차트" sheetId="4" state="visible" r:id="rId6"/>
    <sheet name="Checks" sheetId="5" state="visible" r:id="rId7"/>
  </sheets>
  <definedNames>
    <definedName function="false" hidden="false" localSheetId="1" name="_xlnm.Print_Area" vbProcedure="false">'상세 데이터'!$A$1:$E$36</definedName>
    <definedName function="false" hidden="false" name="AmericanoPrice" vbProcedure="false">'메뉴 분석'!$B$5</definedName>
    <definedName function="false" hidden="false" name="CakePrice" vbProcedure="false">'메뉴 분석'!$B$7</definedName>
    <definedName function="false" hidden="false" name="LattePrice" vbProcedure="false">'메뉴 분석'!$B$6</definedName>
    <definedName function="false" hidden="false" localSheetId="0" name="Excel_BuiltIn_Print_Area" vbProcedure="false">sheet1!$a$1:$r$40</definedName>
    <definedName name="_xlnm.Print_Area" localSheetId="2">'메뉴 분석'!$A$1:$G$14</definedName>
    <definedName name="_xlnm.Print_Area" localSheetId="3">'차트'!$A$1:$K$60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실제 기업·시장자료가 아닙니다.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19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입력값. 주말 판매 증가와 월중 성장을 가정했습니다.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Mixdog 가상 시나리오. 판매 단가와 재료비는 설명용 가정입니다.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2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맑은 고딕"/>
            <family val="2"/>
          </rPr>
          <t xml:space="preserve">Mixdog 가상 가정: 월 인건비 6,800,000원.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10</xdr:row>
                <xdr:rowOff>2</xdr:rowOff>
              </xdr:from>
              <xdr:to>
                <xdr:col>4</xdr:col>
                <xdr:colOff>15</xdr:colOff>
                <xdr:row>13</xdr:row>
                <xdr:rowOff>16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맑은 고딕"/>
            <family val="2"/>
          </rPr>
          <t xml:space="preserve">Mixdog 가상 가정: 월 임차료 2,200,000원.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11</xdr:row>
                <xdr:rowOff>2</xdr:rowOff>
              </xdr:from>
              <xdr:to>
                <xdr:col>4</xdr:col>
                <xdr:colOff>15</xdr:colOff>
                <xdr:row>14</xdr:row>
                <xdr:rowOff>16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맑은 고딕"/>
            <family val="2"/>
          </rPr>
          <t xml:space="preserve">Mixdog 가상 가정: 공과금·소모품 등 월 900,000원. 세금·이자·감가상각·결제 수수료 제외.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12</xdr:row>
                <xdr:rowOff>2</xdr:rowOff>
              </xdr:from>
              <xdr:to>
                <xdr:col>4</xdr:col>
                <xdr:colOff>15</xdr:colOff>
                <xdr:row>15</xdr:row>
                <xdr:rowOff>16</xdr:rowOff>
              </xdr:to>
            </anchor>
          </commentPr>
        </mc:Choice>
        <mc:Fallback/>
      </mc:AlternateContent>
    </comment>
    <comment ref="B5" authorId="0">
      <text>
        <r>
          <t xml:space="preserve">의도된 가정 입력값: 아메리카노 판매 단가 4,500원. 계산 열이 아니며 노란 셀만 수정합니다.</t>
        </r>
      </text>
    </comment>
    <comment ref="C5" authorId="0">
      <text>
        <r>
          <t xml:space="preserve">의도된 가정 입력값: 아메리카노 개당 재료비 1,100원.</t>
        </r>
      </text>
    </comment>
    <comment ref="B6" authorId="0">
      <text>
        <r>
          <t xml:space="preserve">의도된 가정 입력값: 카페라테 판매 단가 5,500원.</t>
        </r>
      </text>
    </comment>
    <comment ref="C6" authorId="0">
      <text>
        <r>
          <t xml:space="preserve">의도된 가정 입력값: 카페라테 개당 재료비 1,700원.</t>
        </r>
      </text>
    </comment>
    <comment ref="B7" authorId="0">
      <text>
        <r>
          <t xml:space="preserve">의도된 가정 입력값: 치즈케이크 판매 단가 6,500원.</t>
        </r>
      </text>
    </comment>
    <comment ref="C7" authorId="0">
      <text>
        <r>
          <t xml:space="preserve">의도된 가정 입력값: 치즈케이크 개당 재료비 2,400원.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A1" authorId="0">
      <text>
        <r>
          <rPr>
            <sz val="10"/>
            <rFont val="맑은 고딕"/>
            <family val="2"/>
          </rPr>
          <t xml:space="preserve">Source: 상세 데이터·메뉴 분석의 계산값 연결. 가상 실적.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15</xdr:colOff>
                <xdr:row>1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<sst xmlns="http://schemas.openxmlformats.org/spreadsheetml/2006/main" count="103" uniqueCount="92">
  <si>
    <t xml:space="preserve">EXECUTIVE DECISION DASHBOARD</t>
  </si>
  <si>
    <t xml:space="preserve">모닝브루 월간 운영 보고서</t>
  </si>
  <si>
    <t xml:space="preserve">2026년 6월 | 가상 카페 · 예시 데이터 | 단위: 원</t>
  </si>
  <si>
    <t xml:space="preserve">가상 실적이며 세금·감가상각·이자·결제 수수료는 제외했습니다. • 파랑·노란 배경 = 수정 가능 / 검정 = 계산 / 초록 = 다른 시트 연결 • 판매량과 단가·비용을 수정하면 수식과 차트가 갱신됩니다.</t>
  </si>
  <si>
    <t xml:space="preserve">운영 지표</t>
  </si>
  <si>
    <t xml:space="preserve">금액·비율</t>
  </si>
  <si>
    <t xml:space="preserve">정의</t>
  </si>
  <si>
    <t xml:space="preserve">DECISION WINDOW</t>
  </si>
  <si>
    <t xml:space="preserve">매출</t>
  </si>
  <si>
    <t xml:space="preserve">판매금액 합계</t>
  </si>
  <si>
    <t xml:space="preserve">주말 판매량에 맞춰 발주와 근무 배치를 검토합니다.</t>
  </si>
  <si>
    <t xml:space="preserve">재료비</t>
  </si>
  <si>
    <t xml:space="preserve">판매량 × 개당 재료비</t>
  </si>
  <si>
    <t xml:space="preserve">고정비</t>
  </si>
  <si>
    <t xml:space="preserve">인건비·임차료·기타</t>
  </si>
  <si>
    <t xml:space="preserve">• 가상 실적이며 세금·감가상각·이자·결제 수수료는 제외했습니다.</t>
  </si>
  <si>
    <t xml:space="preserve">총비용</t>
  </si>
  <si>
    <t xml:space="preserve">재료비 + 고정비</t>
  </si>
  <si>
    <t xml:space="preserve">• 파랑·노란 배경 = 수정 가능 / 검정 = 계산 / 초록 = 다른 시트 연결</t>
  </si>
  <si>
    <t xml:space="preserve">순이익(단순 모형)</t>
  </si>
  <si>
    <t xml:space="preserve">매출 − 총비용</t>
  </si>
  <si>
    <t xml:space="preserve">• 판매량과 단가·비용을 수정하면 수식과 차트가 갱신됩니다.</t>
  </si>
  <si>
    <t xml:space="preserve">순이익률</t>
  </si>
  <si>
    <t xml:space="preserve">순이익 ÷ 매출</t>
  </si>
  <si>
    <t xml:space="preserve">판매 수량</t>
  </si>
  <si>
    <t xml:space="preserve">음료·디저트 합계</t>
  </si>
  <si>
    <t xml:space="preserve">일평균 매출</t>
  </si>
  <si>
    <t xml:space="preserve">매출 ÷ 영업일 수</t>
  </si>
  <si>
    <t xml:space="preserve">일별 판매량과 매출</t>
  </si>
  <si>
    <t xml:space="preserve">2026년 6월 | 전일 영업 가정 | 판매량: 개 · 매출: 원</t>
  </si>
  <si>
    <t xml:space="preserve">영업일</t>
  </si>
  <si>
    <t xml:space="preserve">아메리카노</t>
  </si>
  <si>
    <t xml:space="preserve">카페라테</t>
  </si>
  <si>
    <t xml:space="preserve">치즈케이크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</si>
  <si>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</si>
  <si>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</si>
  <si>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</si>
  <si>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</si>
  <si>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</si>
  <si>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</si>
  <si>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</si>
  <si>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</si>
  <si>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</si>
  <si>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</si>
  <si>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</si>
  <si>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</si>
  <si>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</si>
  <si>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</si>
  <si>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</si>
  <si>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</si>
  <si>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</si>
  <si>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</si>
  <si>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</si>
  <si>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</si>
  <si>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</si>
  <si>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</si>
  <si>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</si>
  <si>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</si>
  <si>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</si>
  <si>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</si>
  <si>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</si>
  <si>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</si>
  <si>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</si>
  <si>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</si>
  <si>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메뉴별 매출과 비용 구조</t>
  </si>
  <si>
    <t xml:space="preserve">금액: 원 · 판매량: 개 | 단가·비용은 가정값</t>
  </si>
  <si>
    <t xml:space="preserve">메뉴</t>
  </si>
  <si>
    <t xml:space="preserve">판매 단가</t>
  </si>
  <si>
    <t xml:space="preserve">개당 재료비</t>
  </si>
  <si>
    <t xml:space="preserve">월 판매량</t>
  </si>
  <si>
    <t xml:space="preserve">매출 비중</t>
  </si>
  <si>
    <t xml:space="preserve">고정비 항목</t>
  </si>
  <si>
    <t xml:space="preserve">월 비용(원)</t>
  </si>
  <si>
    <t xml:space="preserve">인건비</t>
  </si>
  <si>
    <t xml:space="preserve">임차료</t>
  </si>
  <si>
    <t xml:space="preserve">기타 운영비</t>
  </si>
  <si>
    <t xml:space="preserve">매출 추이와 메뉴별 비중</t>
  </si>
  <si>
    <t xml:space="preserve">입력값을 바꾸면 연결된 차트도 갱신됩니다.</t>
  </si>
  <si>
    <t xml:space="preserve">기간(6일 단위)</t>
  </si>
  <si>
    <t xml:space="preserve">매출(원)</t>
  </si>
  <si>
    <t xml:space="preserve">06-01 ~ 06-06</t>
  </si>
  <si>
    <t xml:space="preserve">06-07 ~ 06-12</t>
  </si>
  <si>
    <t xml:space="preserve">06-13 ~ 06-18</t>
  </si>
  <si>
    <t xml:space="preserve">06-19 ~ 06-24</t>
  </si>
  <si>
    <t xml:space="preserve">06-25 ~ 06-30</t>
  </si>
  <si>
    <t xml:space="preserve">검증 항목</t>
  </si>
  <si>
    <t xml:space="preserve">통과 여부</t>
  </si>
  <si>
    <t xml:space="preserve">전체 검증</t>
  </si>
  <si>
    <t xml:space="preserve">일별·메뉴별 매출 일치</t>
  </si>
  <si>
    <t xml:space="preserve">손익 계산 일치</t>
  </si>
  <si>
    <t xml:space="preserve">메뉴별 비중 합계</t>
  </si>
  <si>
    <t xml:space="preserve">판매량 합계 일치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</si>
</sst>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yyyy\-mm\-dd"/>
    <numFmt numFmtId="168" formatCode="#,##0"/>
    <numFmt numFmtId="169" formatCode="0.0%"/>
  </numFmts>
  <fonts count="31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1F7A55"/>
      <name val="맑은 고딕"/>
      <family val="2"/>
      <charset val="1"/>
    </font>
    <font>
      <sz val="11"/>
      <name val="맑은 고딕"/>
      <family val="2"/>
      <charset val="1"/>
    </font>
    <font>
      <b val="true"/>
      <sz val="22"/>
      <color rgb="FF17221C"/>
      <name val="맑은 고딕"/>
      <family val="2"/>
      <charset val="1"/>
    </font>
    <font>
      <i val="true"/>
      <sz val="10.5"/>
      <color rgb="FF5A635F"/>
      <name val="맑은 고딕"/>
      <family val="2"/>
      <charset val="1"/>
    </font>
    <font>
      <b val="true"/>
      <sz val="10.5"/>
      <color rgb="FF17221C"/>
      <name val="맑은 고딕"/>
      <family val="2"/>
      <charset val="1"/>
    </font>
    <font>
      <b val="true"/>
      <sz val="10"/>
      <color rgb="FFFFFFFF"/>
      <name val="맑은 고딕"/>
      <family val="2"/>
      <charset val="1"/>
    </font>
    <font>
      <sz val="9.5"/>
      <color rgb="FF17221C"/>
      <name val="맑은 고딕"/>
      <family val="2"/>
      <charset val="1"/>
    </font>
    <font>
      <sz val="9.5"/>
      <color rgb="FF008000"/>
      <name val="맑은 고딕"/>
      <family val="2"/>
      <charset val="1"/>
    </font>
    <font>
      <b val="true"/>
      <sz val="15"/>
      <color rgb="FF17221C"/>
      <name val="맑은 고딕"/>
      <family val="2"/>
      <charset val="1"/>
    </font>
    <font>
      <sz val="10"/>
      <color rgb="FF17221C"/>
      <name val="맑은 고딕"/>
      <family val="2"/>
      <charset val="1"/>
    </font>
    <font>
      <sz val="9.5"/>
      <color rgb="FF000000"/>
      <name val="맑은 고딕"/>
      <family val="2"/>
      <charset val="1"/>
    </font>
    <font>
      <b val="true"/>
      <sz val="9.5"/>
      <color rgb="FF17221C"/>
      <name val="맑은 고딕"/>
      <family val="2"/>
      <charset val="1"/>
    </font>
    <font>
      <b val="true"/>
      <sz val="9.5"/>
      <color rgb="FF008000"/>
      <name val="맑은 고딕"/>
      <family val="2"/>
      <charset val="1"/>
    </font>
    <font>
      <sz val="10"/>
      <name val="맑은 고딕"/>
      <family val="2"/>
    </font>
    <font>
      <b val="true"/>
      <sz val="20"/>
      <color rgb="FFFFFFFF"/>
      <name val="맑은 고딕"/>
      <family val="2"/>
      <charset val="1"/>
    </font>
    <font>
      <i val="true"/>
      <sz val="9.5"/>
      <color rgb="FF5A635F"/>
      <name val="맑은 고딕"/>
      <family val="2"/>
      <charset val="1"/>
    </font>
    <font>
      <sz val="9.5"/>
      <color rgb="FF0000FF"/>
      <name val="맑은 고딕"/>
      <family val="2"/>
      <charset val="1"/>
    </font>
    <font>
      <b val="true"/>
      <sz val="9.5"/>
      <color rgb="FF0000FF"/>
      <name val="맑은 고딕"/>
      <family val="2"/>
      <charset val="1"/>
    </font>
    <font>
      <b val="true"/>
      <sz val="9.5"/>
      <color rgb="FF000000"/>
      <name val="맑은 고딕"/>
      <family val="2"/>
      <charset val="1"/>
    </font>
    <font>
      <b val="true"/>
      <sz val="11"/>
      <color rgb="FFFFFFFF"/>
      <name val="맑은 고딕"/>
      <family val="2"/>
      <charset val="1"/>
    </font>
    <font>
      <sz val="11"/>
      <color rgb="FF0000FF"/>
      <name val="맑은 고딕"/>
      <family val="2"/>
      <charset val="1"/>
    </font>
    <font>
      <sz val="11"/>
      <color rgb="FF008000"/>
      <name val="맑은 고딕"/>
      <family val="2"/>
      <charset val="1"/>
    </font>
    <font>
      <b val="true"/>
      <sz val="12"/>
      <color rgb="FF171717"/>
      <name val="Aptos Narrow"/>
      <family val="2"/>
    </font>
    <font>
      <b val="true"/>
      <sz val="12"/>
      <color rgb="FF171717"/>
      <name val="맑은 고딕"/>
      <family val="2"/>
    </font>
    <font>
      <sz val="10"/>
      <color rgb="FF000000"/>
      <name val="맑은 고딕"/>
      <family val="2"/>
    </font>
    <font>
      <sz val="9"/>
      <color rgb="FF5F6368"/>
      <name val="맑은 고딕"/>
      <family val="2"/>
    </font>
    <font>
      <sz val="9"/>
      <color rgb="FF000000"/>
      <name val="맑은 고딕"/>
      <family val="2"/>
    </font>
  </fonts>
  <fills count="8">
    <fill>
      <patternFill patternType="none"/>
    </fill>
    <fill>
      <patternFill patternType="gray125"/>
    </fill>
    <fill>
      <patternFill patternType="solid">
        <fgColor rgb="FFF8F9F6"/>
        <bgColor rgb="FFFFFFFF"/>
      </patternFill>
    </fill>
    <fill>
      <patternFill patternType="solid">
        <fgColor rgb="FFE8F1EC"/>
        <bgColor rgb="FFE7E9EC"/>
      </patternFill>
    </fill>
    <fill>
      <patternFill patternType="solid">
        <fgColor rgb="FF1F7A55"/>
        <bgColor rgb="FF196B24"/>
      </patternFill>
    </fill>
    <fill>
      <patternFill patternType="solid">
        <fgColor rgb="FF132C24"/>
        <bgColor rgb="FF17221C"/>
      </patternFill>
    </fill>
    <fill>
      <patternFill patternType="solid">
        <fgColor rgb="FFFFF2CC"/>
        <bgColor rgb="FFF8F9F6"/>
      </patternFill>
    </fill>
    <fill>
      <patternFill patternType="solid">
        <fgColor rgb="FF173F35"/>
        <bgColor rgb="FF132C2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7A55"/>
          <bgColor rgb="FF000000"/>
        </patternFill>
      </fill>
    </dxf>
    <dxf>
      <fill>
        <patternFill patternType="solid">
          <fgColor rgb="FFE8F1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000000"/>
      </font>
      <border diagonalUp="false" diagonalDown="false">
        <left style="thin">
          <color theme="6" tint="0.4"/>
        </left>
        <right style="thin">
          <color theme="6" tint="0.4"/>
        </right>
        <top style="thin">
          <color theme="6" tint="0.4"/>
        </top>
        <bottom style="thin">
          <color theme="6" tint="0.4"/>
        </bottom>
        <diagonal/>
      </border>
    </dxf>
    <dxf>
      <fill>
        <patternFill>
          <bgColor theme="6" tint="0.8"/>
        </patternFill>
      </fill>
    </dxf>
    <dxf>
      <fill>
        <patternFill>
          <bgColor theme="6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6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6"/>
        </top>
        <bottom/>
        <diagonal/>
      </border>
    </dxf>
  </dxfs>
  <tableStyles count="1">
    <tableStyle count="7" name="TableStyleMedium4">
      <tableStyleElement dxfId="9" type="wholeTable"/>
      <tableStyleElement dxfId="10" type="firstColumnStripe"/>
      <tableStyleElement dxfId="11" type="firstRowStripe"/>
      <tableStyleElement dxfId="12" type="lastColumn"/>
      <tableStyleElement dxfId="13" type="firstColumn"/>
      <tableStyleElement dxfId="14" type="headerRow"/>
      <tableStyleElement dxfId="1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5"/>
      <rgbColor rgb="FFC7CBD1"/>
      <rgbColor rgb="FF5A635F"/>
      <rgbColor rgb="FF9999FF"/>
      <rgbColor rgb="FF993366"/>
      <rgbColor rgb="FFFFF2C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7E9EC"/>
      <rgbColor rgb="FFF8F9F6"/>
      <rgbColor rgb="FFFFFF99"/>
      <rgbColor rgb="FF99CCFF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5F6368"/>
      <rgbColor rgb="FF969696"/>
      <rgbColor rgb="FF171717"/>
      <rgbColor rgb="FF196B24"/>
      <rgbColor rgb="FF132C24"/>
      <rgbColor rgb="FF17221C"/>
      <rgbColor rgb="FF993300"/>
      <rgbColor rgb="FF993366"/>
      <rgbColor rgb="FF333399"/>
      <rgbColor rgb="FF173F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ptos Narrow"/>
              </a:rPr>
              <a:t>6일 단위 매출 추이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차트!$E$4</c:f>
              <c:strCache>
                <c:ptCount val="1"/>
                <c:pt idx="0">
                  <c:v>매출(원)</c:v>
                </c:pt>
              </c:strCache>
            </c:strRef>
          </c:tx>
          <c:spPr>
            <a:solidFill>
              <a:srgbClr val="1F7A55"/>
            </a:solidFill>
            <a:ln cap="rnd" w="28440">
              <a:solidFill>
                <a:srgbClr val="1F7A55"/>
              </a:solidFill>
              <a:round/>
            </a:ln>
          </c:spPr>
          <c:dLbls>
            <c:numFmt formatCode="#,##0" sourceLinked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차트!$D$5:$D$9</c:f>
              <c:strCache>
                <c:ptCount val="5"/>
                <c:pt idx="0">
                  <c:v>06-01 ~ 06-06</c:v>
                </c:pt>
                <c:pt idx="1">
                  <c:v>06-07 ~ 06-12</c:v>
                </c:pt>
                <c:pt idx="2">
                  <c:v>06-13 ~ 06-18</c:v>
                </c:pt>
                <c:pt idx="3">
                  <c:v>06-19 ~ 06-24</c:v>
                </c:pt>
                <c:pt idx="4">
                  <c:v>06-25 ~ 06-30</c:v>
                </c:pt>
              </c:strCache>
            </c:strRef>
          </c:cat>
          <c:val>
            <c:numRef>
              <c:f>차트!$E$5:$E$9</c:f>
              <c:numCache>
                <c:formatCode>#,##0</c:formatCode>
                <c:ptCount val="5"/>
                <c:pt idx="0">
                  <c:v>5468500</c:v>
                </c:pt>
                <c:pt idx="1">
                  <c:v>5618500</c:v>
                </c:pt>
                <c:pt idx="2">
                  <c:v>6210000</c:v>
                </c:pt>
                <c:pt idx="3">
                  <c:v>6645000</c:v>
                </c:pt>
                <c:pt idx="4">
                  <c:v>6963000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787931"/>
        <c:axId val="97282065"/>
      </c:lineChart>
      <c:catAx>
        <c:axId val="74787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ptos Narrow"/>
              </a:defRPr>
            </a:pPr>
          </a:p>
        </c:txPr>
        <c:crossAx val="97282065"/>
        <c:crosses val="autoZero"/>
        <c:auto val="1"/>
        <c:lblAlgn val="ctr"/>
        <c:lblOffset val="100"/>
        <c:noMultiLvlLbl val="0"/>
      </c:catAx>
      <c:valAx>
        <c:axId val="9728206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ptos Narrow"/>
              </a:defRPr>
            </a:pPr>
          </a:p>
        </c:txPr>
        <c:crossAx val="74787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ptos Narrow"/>
              </a:rPr>
              <a:t>메뉴별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0"/>
        <c:ser>
          <c:idx val="0"/>
          <c:order val="0"/>
          <c:tx>
            <c:strRef>
              <c:f>차트!$B$4</c:f>
              <c:strCache>
                <c:ptCount val="1"/>
                <c:pt idx="0">
                  <c:v>매출 비중</c:v>
                </c:pt>
              </c:strCache>
            </c:strRef>
          </c:tx>
          <c:spPr>
            <a:solidFill>
              <a:srgbClr val="1F7A55"/>
            </a:solidFill>
            <a:ln w="12600">
              <a:noFill/>
            </a:ln>
          </c:spPr>
          <c:explosion val="0"/>
          <c:dPt>
            <c:idx val="0"/>
            <c:spPr>
              <a:ln w="12600">
                <a:noFill/>
              </a:ln>
            </c:spPr>
          </c:dPt>
          <c:dPt>
            <c:idx val="1"/>
            <c:spPr>
              <a:ln w="12600">
                <a:noFill/>
              </a:ln>
            </c:spPr>
          </c:dPt>
          <c:dPt>
            <c:idx val="2"/>
            <c:spPr>
              <a:ln w="12600">
                <a:noFill/>
              </a:ln>
            </c:spPr>
          </c:dPt>
          <c:dLbls>
            <c:dLbl>
              <c:idx val="0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ptos Narrow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.0%" sourceLinked="0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차트!$A$5:$A$7</c:f>
              <c:strCache>
                <c:ptCount val="3"/>
                <c:pt idx="0">
                  <c:v>아메리카노</c:v>
                </c:pt>
                <c:pt idx="1">
                  <c:v>카페라테</c:v>
                </c:pt>
                <c:pt idx="2">
                  <c:v>치즈케이크</c:v>
                </c:pt>
              </c:strCache>
            </c:strRef>
          </c:cat>
          <c:val>
            <c:numRef>
              <c:f>차트!$B$5:$B$7</c:f>
              <c:numCache>
                <c:formatCode>0.0%</c:formatCode>
                <c:ptCount val="3"/>
                <c:pt idx="0">
                  <c:v>0.449344766219058</c:v>
                </c:pt>
                <c:pt idx="1">
                  <c:v>0.342226176994014</c:v>
                </c:pt>
                <c:pt idx="2">
                  <c:v>0.208429056786928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19800</xdr:rowOff>
    </xdr:from>
    <xdr:to>
      <xdr:col>10</xdr:col>
      <xdr:colOff>515880</xdr:colOff>
      <xdr:row>31</xdr:row>
      <xdr:rowOff>19080</xdr:rowOff>
    </xdr:to>
    <xdr:graphicFrame>
      <xdr:nvGraphicFramePr>
        <xdr:cNvPr id="1" name="Chart 1"/>
        <xdr:cNvGraphicFramePr/>
      </xdr:nvGraphicFramePr>
      <xdr:xfrm>
        <a:off x="0" y="2793960"/>
        <a:ext cx="825480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146520</xdr:rowOff>
    </xdr:from>
    <xdr:to>
      <xdr:col>10</xdr:col>
      <xdr:colOff>515880</xdr:colOff>
      <xdr:row>52</xdr:row>
      <xdr:rowOff>146160</xdr:rowOff>
    </xdr:to>
    <xdr:graphicFrame>
      <xdr:nvGraphicFramePr>
        <xdr:cNvPr id="2" name="Chart 1"/>
        <xdr:cNvGraphicFramePr/>
      </xdr:nvGraphicFramePr>
      <xdr:xfrm>
        <a:off x="0" y="6921360"/>
        <a:ext cx="825480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Sales" displayName="DailySales" ref="A4:E34" headerRowCount="1" totalsRowCount="0" totalsRowShown="0">
  <autoFilter ref="A4:E34"/>
  <tableColumns count="5">
    <tableColumn id="1" name="영업일"/>
    <tableColumn id="2" name="아메리카노"/>
    <tableColumn id="3" name="카페라테"/>
    <tableColumn id="4" name="치즈케이크"/>
    <tableColumn id="5" name="매출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ata" displayName="Data" ref="A4:B7" headerRowCount="1" totalsRowCount="0" totalsRowShown="0">
  <autoFilter ref="A4:B7"/>
  <tableColumns count="2">
    <tableColumn id="1" name="메뉴"/>
    <tableColumn id="2" name="매출 비중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enuSales" displayName="MenuSales" ref="A4:G7" headerRowCount="1" totalsRowCount="0" totalsRowShown="0">
  <autoFilter ref="A4:G7"/>
  <tableColumns count="7">
    <tableColumn id="1" name="메뉴"/>
    <tableColumn id="2" name="판매 단가"/>
    <tableColumn id="3" name="개당 재료비"/>
    <tableColumn id="4" name="월 판매량"/>
    <tableColumn id="5" name="매출"/>
    <tableColumn id="6" name="재료비"/>
    <tableColumn id="7" name="매출 비중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ummaryTable" displayName="SummaryTable" ref="A7:C15" headerRowCount="1" totalsRowCount="0" totalsRowShown="0">
  <autoFilter ref="A7:C15"/>
  <tableColumns count="3">
    <tableColumn id="1" name="운영 지표"/>
    <tableColumn id="2" name="금액·비율"/>
    <tableColumn id="3" name="정의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4.vml"/><Relationship Id="rId4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6.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22"/>
  </cols>
  <sheetData>
    <row r="1" customFormat="false" ht="16.5" hidden="false" customHeight="false" outlineLevel="0" collapsed="false">
      <c r="A1" s="1" t="inlineStr">
        <is>
          <t>월간 운영 요약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</row>
    <row r="2" customFormat="false" ht="30.5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</row>
    <row r="3" customFormat="false" ht="16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28.35" hidden="false" customHeight="true" outlineLevel="0" collapsed="false">
      <c r="A5" s="5" t="inlineStr">
        <is>
          <t>수정 안내: 상세 데이터의 판매량과 메뉴 분석의 노란 입력 셀을 변경하세요.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2"/>
      <c r="N5" s="2"/>
      <c r="O5" s="2"/>
      <c r="P5" s="2"/>
      <c r="Q5" s="2"/>
      <c r="R5" s="2"/>
    </row>
    <row r="6" customFormat="false" ht="16.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16.5" hidden="false" customHeight="false" outlineLevel="0" collapsed="false">
      <c r="A7" s="6" t="s">
        <v>4</v>
      </c>
      <c r="B7" s="6" t="s">
        <v>5</v>
      </c>
      <c r="C7" s="6" t="s">
        <v>6</v>
      </c>
      <c r="D7" s="2"/>
      <c r="E7" s="7" t="inlineStr">
        <is>
          <t>운영 제안</t>
        </is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customFormat="false" ht="21.6" hidden="false" customHeight="true" outlineLevel="0" collapsed="false">
      <c r="A8" s="8" t="s">
        <v>8</v>
      </c>
      <c r="B8" s="9" t="n">
        <f aca="false">SUM('메뉴 분석'!E5:E7)</f>
        <v>30905000</v>
      </c>
      <c r="C8" s="8" t="s">
        <v>9</v>
      </c>
      <c r="D8" s="2"/>
      <c r="E8" s="10" t="s">
        <v>10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customFormat="false" ht="16.5" hidden="false" customHeight="false" outlineLevel="0" collapsed="false">
      <c r="A9" s="8" t="s">
        <v>11</v>
      </c>
      <c r="B9" s="9" t="n">
        <f aca="false">SUM('메뉴 분석'!F5:F7)</f>
        <v>9042100</v>
      </c>
      <c r="C9" s="8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customFormat="false" ht="16.5" hidden="false" customHeight="true" outlineLevel="0" collapsed="false">
      <c r="A10" s="8" t="s">
        <v>13</v>
      </c>
      <c r="B10" s="9" t="n">
        <f aca="false">SUM('메뉴 분석'!B11:B13)</f>
        <v>9900000</v>
      </c>
      <c r="C10" s="8" t="s">
        <v>14</v>
      </c>
      <c r="D10" s="2"/>
      <c r="E10" s="11" t="s">
        <v>15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customFormat="false" ht="16.5" hidden="false" customHeight="true" outlineLevel="0" collapsed="false">
      <c r="A11" s="8" t="s">
        <v>16</v>
      </c>
      <c r="B11" s="12" t="n">
        <f aca="false">SUM(B9:B10)</f>
        <v>18942100</v>
      </c>
      <c r="C11" s="8" t="s">
        <v>17</v>
      </c>
      <c r="D11" s="2"/>
      <c r="E11" s="13" t="s">
        <v>18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customFormat="false" ht="16.5" hidden="false" customHeight="true" outlineLevel="0" collapsed="false">
      <c r="A12" s="8" t="s">
        <v>19</v>
      </c>
      <c r="B12" s="12" t="n">
        <f aca="false">B8-B11</f>
        <v>11962900</v>
      </c>
      <c r="C12" s="8" t="s">
        <v>20</v>
      </c>
      <c r="D12" s="2"/>
      <c r="E12" s="11" t="s">
        <v>21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customFormat="false" ht="16.5" hidden="false" customHeight="false" outlineLevel="0" collapsed="false">
      <c r="A13" s="8" t="s">
        <v>22</v>
      </c>
      <c r="B13" s="14" t="n">
        <f aca="false">IFERROR(B12/B8,0)</f>
        <v>0.387086232001294</v>
      </c>
      <c r="C13" s="8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customFormat="false" ht="16.5" hidden="false" customHeight="false" outlineLevel="0" collapsed="false">
      <c r="A14" s="8" t="s">
        <v>24</v>
      </c>
      <c r="B14" s="9" t="n">
        <f aca="false">SUM('메뉴 분석'!D5:D7)</f>
        <v>6000</v>
      </c>
      <c r="C14" s="8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6.5" hidden="false" customHeight="false" outlineLevel="0" collapsed="false">
      <c r="A15" s="15" t="s">
        <v>26</v>
      </c>
      <c r="B15" s="16" t="n">
        <f aca="false">IFERROR(B8/COUNTA('상세 데이터'!A5:A34),0)</f>
        <v>1030166.66666667</v>
      </c>
      <c r="C15" s="15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</sheetData>
  <mergeCells count="9">
    <mergeCell ref="A1:L1"/>
    <mergeCell ref="A2:L2"/>
    <mergeCell ref="A3:L3"/>
    <mergeCell ref="A5:L5"/>
    <mergeCell ref="E7:R7"/>
    <mergeCell ref="E8:R8"/>
    <mergeCell ref="E10:R10"/>
    <mergeCell ref="E11:R11"/>
    <mergeCell ref="E12:R12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min="5" max="5" width="9" customWidth="1"/>
  </cols>
  <sheetData>
    <row r="1" customFormat="false" ht="28.35" hidden="false" customHeight="true" outlineLevel="0" collapsed="false">
      <c r="A1" s="17" t="s">
        <v>28</v>
      </c>
      <c r="B1" s="17"/>
      <c r="C1" s="17"/>
      <c r="D1" s="17"/>
      <c r="E1" s="17"/>
    </row>
    <row r="2" customFormat="false" ht="15" hidden="false" customHeight="true" outlineLevel="0" collapsed="false">
      <c r="A2" s="18" t="s">
        <v>29</v>
      </c>
      <c r="B2" s="18"/>
      <c r="C2" s="18"/>
      <c r="D2" s="18"/>
      <c r="E2" s="18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30</v>
      </c>
      <c r="B4" s="6" t="s">
        <v>31</v>
      </c>
      <c r="C4" s="6" t="s">
        <v>32</v>
      </c>
      <c r="D4" s="6" t="s">
        <v>33</v>
      </c>
      <c r="E4" s="6" t="s">
        <v>8</v>
      </c>
    </row>
    <row r="5" customFormat="false" ht="15" hidden="false" customHeight="false" outlineLevel="0" collapsed="false">
      <c r="A5" s="19" t="s">
        <v>34</v>
      </c>
      <c r="B5" s="20" t="n">
        <v>82</v>
      </c>
      <c r="C5" s="20" t="n">
        <v>48</v>
      </c>
      <c r="D5" s="20" t="n">
        <v>22</v>
      </c>
      <c r="E5" s="21" t="n">
        <f aca="false">B5*AmericanoPrice+C5*LattePrice+D5*CakePrice</f>
        <v>776000</v>
      </c>
    </row>
    <row r="6" customFormat="false" ht="15" hidden="false" customHeight="false" outlineLevel="0" collapsed="false">
      <c r="A6" s="19" t="s">
        <v>35</v>
      </c>
      <c r="B6" s="20" t="n">
        <v>78</v>
      </c>
      <c r="C6" s="20" t="n">
        <v>46</v>
      </c>
      <c r="D6" s="20" t="n">
        <v>20</v>
      </c>
      <c r="E6" s="21" t="n">
        <f aca="false">B6*AmericanoPrice+C6*LattePrice+D6*CakePrice</f>
        <v>734000</v>
      </c>
    </row>
    <row r="7" customFormat="false" ht="15" hidden="false" customHeight="false" outlineLevel="0" collapsed="false">
      <c r="A7" s="19" t="s">
        <v>36</v>
      </c>
      <c r="B7" s="20" t="n">
        <v>85</v>
      </c>
      <c r="C7" s="20" t="n">
        <v>51</v>
      </c>
      <c r="D7" s="20" t="n">
        <v>24</v>
      </c>
      <c r="E7" s="21" t="n">
        <f aca="false">B7*AmericanoPrice+C7*LattePrice+D7*CakePrice</f>
        <v>819000</v>
      </c>
    </row>
    <row r="8" customFormat="false" ht="15" hidden="false" customHeight="false" outlineLevel="0" collapsed="false">
      <c r="A8" s="19" t="s">
        <v>37</v>
      </c>
      <c r="B8" s="20" t="n">
        <v>88</v>
      </c>
      <c r="C8" s="20" t="n">
        <v>53</v>
      </c>
      <c r="D8" s="20" t="n">
        <v>25</v>
      </c>
      <c r="E8" s="21" t="n">
        <f aca="false">B8*AmericanoPrice+C8*LattePrice+D8*CakePrice</f>
        <v>850000</v>
      </c>
    </row>
    <row r="9" customFormat="false" ht="15" hidden="false" customHeight="false" outlineLevel="0" collapsed="false">
      <c r="A9" s="19" t="s">
        <v>38</v>
      </c>
      <c r="B9" s="20" t="n">
        <v>96</v>
      </c>
      <c r="C9" s="20" t="n">
        <v>60</v>
      </c>
      <c r="D9" s="20" t="n">
        <v>31</v>
      </c>
      <c r="E9" s="21" t="n">
        <f aca="false">B9*AmericanoPrice+C9*LattePrice+D9*CakePrice</f>
        <v>963500</v>
      </c>
    </row>
    <row r="10" customFormat="false" ht="15" hidden="false" customHeight="false" outlineLevel="0" collapsed="false">
      <c r="A10" s="19" t="s">
        <v>39</v>
      </c>
      <c r="B10" s="20" t="n">
        <v>128</v>
      </c>
      <c r="C10" s="20" t="n">
        <v>82</v>
      </c>
      <c r="D10" s="20" t="n">
        <v>46</v>
      </c>
      <c r="E10" s="21" t="n">
        <f aca="false">B10*AmericanoPrice+C10*LattePrice+D10*CakePrice</f>
        <v>1326000</v>
      </c>
    </row>
    <row r="11" customFormat="false" ht="15" hidden="false" customHeight="false" outlineLevel="0" collapsed="false">
      <c r="A11" s="19" t="s">
        <v>40</v>
      </c>
      <c r="B11" s="20" t="n">
        <v>119</v>
      </c>
      <c r="C11" s="20" t="n">
        <v>78</v>
      </c>
      <c r="D11" s="20" t="n">
        <v>43</v>
      </c>
      <c r="E11" s="21" t="n">
        <f aca="false">B11*AmericanoPrice+C11*LattePrice+D11*CakePrice</f>
        <v>1244000</v>
      </c>
    </row>
    <row r="12" customFormat="false" ht="15" hidden="false" customHeight="false" outlineLevel="0" collapsed="false">
      <c r="A12" s="19" t="s">
        <v>41</v>
      </c>
      <c r="B12" s="20" t="n">
        <v>84</v>
      </c>
      <c r="C12" s="20" t="n">
        <v>50</v>
      </c>
      <c r="D12" s="20" t="n">
        <v>23</v>
      </c>
      <c r="E12" s="21" t="n">
        <f aca="false">B12*AmericanoPrice+C12*LattePrice+D12*CakePrice</f>
        <v>802500</v>
      </c>
    </row>
    <row r="13" customFormat="false" ht="15" hidden="false" customHeight="false" outlineLevel="0" collapsed="false">
      <c r="A13" s="19" t="s">
        <v>42</v>
      </c>
      <c r="B13" s="20" t="n">
        <v>81</v>
      </c>
      <c r="C13" s="20" t="n">
        <v>48</v>
      </c>
      <c r="D13" s="20" t="n">
        <v>22</v>
      </c>
      <c r="E13" s="21" t="n">
        <f aca="false">B13*AmericanoPrice+C13*LattePrice+D13*CakePrice</f>
        <v>771500</v>
      </c>
    </row>
    <row r="14" customFormat="false" ht="15" hidden="false" customHeight="false" outlineLevel="0" collapsed="false">
      <c r="A14" s="19" t="s">
        <v>43</v>
      </c>
      <c r="B14" s="20" t="n">
        <v>89</v>
      </c>
      <c r="C14" s="20" t="n">
        <v>54</v>
      </c>
      <c r="D14" s="20" t="n">
        <v>26</v>
      </c>
      <c r="E14" s="21" t="n">
        <f aca="false">B14*AmericanoPrice+C14*LattePrice+D14*CakePrice</f>
        <v>866500</v>
      </c>
    </row>
    <row r="15" customFormat="false" ht="15" hidden="false" customHeight="false" outlineLevel="0" collapsed="false">
      <c r="A15" s="19" t="s">
        <v>44</v>
      </c>
      <c r="B15" s="20" t="n">
        <v>92</v>
      </c>
      <c r="C15" s="20" t="n">
        <v>56</v>
      </c>
      <c r="D15" s="20" t="n">
        <v>27</v>
      </c>
      <c r="E15" s="21" t="n">
        <f aca="false">B15*AmericanoPrice+C15*LattePrice+D15*CakePrice</f>
        <v>897500</v>
      </c>
    </row>
    <row r="16" customFormat="false" ht="15" hidden="false" customHeight="false" outlineLevel="0" collapsed="false">
      <c r="A16" s="19" t="s">
        <v>45</v>
      </c>
      <c r="B16" s="20" t="n">
        <v>103</v>
      </c>
      <c r="C16" s="20" t="n">
        <v>64</v>
      </c>
      <c r="D16" s="20" t="n">
        <v>34</v>
      </c>
      <c r="E16" s="21" t="n">
        <f aca="false">B16*AmericanoPrice+C16*LattePrice+D16*CakePrice</f>
        <v>1036500</v>
      </c>
    </row>
    <row r="17" customFormat="false" ht="15" hidden="false" customHeight="false" outlineLevel="0" collapsed="false">
      <c r="A17" s="19" t="s">
        <v>46</v>
      </c>
      <c r="B17" s="20" t="n">
        <v>135</v>
      </c>
      <c r="C17" s="20" t="n">
        <v>87</v>
      </c>
      <c r="D17" s="20" t="n">
        <v>49</v>
      </c>
      <c r="E17" s="21" t="n">
        <f aca="false">B17*AmericanoPrice+C17*LattePrice+D17*CakePrice</f>
        <v>1404500</v>
      </c>
    </row>
    <row r="18" customFormat="false" ht="15" hidden="false" customHeight="false" outlineLevel="0" collapsed="false">
      <c r="A18" s="19" t="s">
        <v>47</v>
      </c>
      <c r="B18" s="20" t="n">
        <v>126</v>
      </c>
      <c r="C18" s="20" t="n">
        <v>81</v>
      </c>
      <c r="D18" s="20" t="n">
        <v>45</v>
      </c>
      <c r="E18" s="21" t="n">
        <f aca="false">B18*AmericanoPrice+C18*LattePrice+D18*CakePrice</f>
        <v>1305000</v>
      </c>
    </row>
    <row r="19" customFormat="false" ht="15" hidden="false" customHeight="false" outlineLevel="0" collapsed="false">
      <c r="A19" s="19" t="s">
        <v>48</v>
      </c>
      <c r="B19" s="20" t="n">
        <v>87</v>
      </c>
      <c r="C19" s="20" t="n">
        <v>52</v>
      </c>
      <c r="D19" s="20" t="n">
        <v>24</v>
      </c>
      <c r="E19" s="21" t="n">
        <f aca="false">B19*AmericanoPrice+C19*LattePrice+D19*CakePrice</f>
        <v>833500</v>
      </c>
    </row>
    <row r="20" customFormat="false" ht="15" hidden="false" customHeight="false" outlineLevel="0" collapsed="false">
      <c r="A20" s="19" t="s">
        <v>49</v>
      </c>
      <c r="B20" s="20" t="n">
        <v>85</v>
      </c>
      <c r="C20" s="20" t="n">
        <v>51</v>
      </c>
      <c r="D20" s="20" t="n">
        <v>23</v>
      </c>
      <c r="E20" s="21" t="n">
        <f aca="false">B20*AmericanoPrice+C20*LattePrice+D20*CakePrice</f>
        <v>812500</v>
      </c>
    </row>
    <row r="21" customFormat="false" ht="15" hidden="false" customHeight="false" outlineLevel="0" collapsed="false">
      <c r="A21" s="19" t="s">
        <v>50</v>
      </c>
      <c r="B21" s="20" t="n">
        <v>93</v>
      </c>
      <c r="C21" s="20" t="n">
        <v>57</v>
      </c>
      <c r="D21" s="20" t="n">
        <v>28</v>
      </c>
      <c r="E21" s="21" t="n">
        <f aca="false">B21*AmericanoPrice+C21*LattePrice+D21*CakePrice</f>
        <v>914000</v>
      </c>
    </row>
    <row r="22" customFormat="false" ht="15" hidden="false" customHeight="false" outlineLevel="0" collapsed="false">
      <c r="A22" s="19" t="s">
        <v>51</v>
      </c>
      <c r="B22" s="20" t="n">
        <v>95</v>
      </c>
      <c r="C22" s="20" t="n">
        <v>59</v>
      </c>
      <c r="D22" s="20" t="n">
        <v>29</v>
      </c>
      <c r="E22" s="21" t="n">
        <f aca="false">B22*AmericanoPrice+C22*LattePrice+D22*CakePrice</f>
        <v>940500</v>
      </c>
    </row>
    <row r="23" customFormat="false" ht="15" hidden="false" customHeight="false" outlineLevel="0" collapsed="false">
      <c r="A23" s="19" t="s">
        <v>52</v>
      </c>
      <c r="B23" s="20" t="n">
        <v>108</v>
      </c>
      <c r="C23" s="20" t="n">
        <v>68</v>
      </c>
      <c r="D23" s="20" t="n">
        <v>36</v>
      </c>
      <c r="E23" s="21" t="n">
        <f aca="false">B23*AmericanoPrice+C23*LattePrice+D23*CakePrice</f>
        <v>1094000</v>
      </c>
    </row>
    <row r="24" customFormat="false" ht="15" hidden="false" customHeight="false" outlineLevel="0" collapsed="false">
      <c r="A24" s="19" t="s">
        <v>53</v>
      </c>
      <c r="B24" s="20" t="n">
        <v>142</v>
      </c>
      <c r="C24" s="20" t="n">
        <v>92</v>
      </c>
      <c r="D24" s="20" t="n">
        <v>53</v>
      </c>
      <c r="E24" s="21" t="n">
        <f aca="false">B24*AmericanoPrice+C24*LattePrice+D24*CakePrice</f>
        <v>1489500</v>
      </c>
    </row>
    <row r="25" customFormat="false" ht="15" hidden="false" customHeight="false" outlineLevel="0" collapsed="false">
      <c r="A25" s="19" t="s">
        <v>54</v>
      </c>
      <c r="B25" s="20" t="n">
        <v>131</v>
      </c>
      <c r="C25" s="20" t="n">
        <v>85</v>
      </c>
      <c r="D25" s="20" t="n">
        <v>48</v>
      </c>
      <c r="E25" s="21" t="n">
        <f aca="false">B25*AmericanoPrice+C25*LattePrice+D25*CakePrice</f>
        <v>1369000</v>
      </c>
    </row>
    <row r="26" customFormat="false" ht="15" hidden="false" customHeight="false" outlineLevel="0" collapsed="false">
      <c r="A26" s="19" t="s">
        <v>55</v>
      </c>
      <c r="B26" s="20" t="n">
        <v>91</v>
      </c>
      <c r="C26" s="20" t="n">
        <v>55</v>
      </c>
      <c r="D26" s="20" t="n">
        <v>26</v>
      </c>
      <c r="E26" s="21" t="n">
        <f aca="false">B26*AmericanoPrice+C26*LattePrice+D26*CakePrice</f>
        <v>881000</v>
      </c>
    </row>
    <row r="27" customFormat="false" ht="15" hidden="false" customHeight="false" outlineLevel="0" collapsed="false">
      <c r="A27" s="19" t="s">
        <v>56</v>
      </c>
      <c r="B27" s="20" t="n">
        <v>88</v>
      </c>
      <c r="C27" s="20" t="n">
        <v>53</v>
      </c>
      <c r="D27" s="20" t="n">
        <v>25</v>
      </c>
      <c r="E27" s="21" t="n">
        <f aca="false">B27*AmericanoPrice+C27*LattePrice+D27*CakePrice</f>
        <v>850000</v>
      </c>
    </row>
    <row r="28" customFormat="false" ht="15" hidden="false" customHeight="false" outlineLevel="0" collapsed="false">
      <c r="A28" s="19" t="s">
        <v>57</v>
      </c>
      <c r="B28" s="20" t="n">
        <v>97</v>
      </c>
      <c r="C28" s="20" t="n">
        <v>60</v>
      </c>
      <c r="D28" s="20" t="n">
        <v>30</v>
      </c>
      <c r="E28" s="21" t="n">
        <f aca="false">B28*AmericanoPrice+C28*LattePrice+D28*CakePrice</f>
        <v>961500</v>
      </c>
    </row>
    <row r="29" customFormat="false" ht="15" hidden="false" customHeight="false" outlineLevel="0" collapsed="false">
      <c r="A29" s="19" t="s">
        <v>58</v>
      </c>
      <c r="B29" s="20" t="n">
        <v>99</v>
      </c>
      <c r="C29" s="20" t="n">
        <v>62</v>
      </c>
      <c r="D29" s="20" t="n">
        <v>31</v>
      </c>
      <c r="E29" s="21" t="n">
        <f aca="false">B29*AmericanoPrice+C29*LattePrice+D29*CakePrice</f>
        <v>988000</v>
      </c>
    </row>
    <row r="30" customFormat="false" ht="15" hidden="false" customHeight="false" outlineLevel="0" collapsed="false">
      <c r="A30" s="19" t="s">
        <v>59</v>
      </c>
      <c r="B30" s="20" t="n">
        <v>112</v>
      </c>
      <c r="C30" s="20" t="n">
        <v>72</v>
      </c>
      <c r="D30" s="20" t="n">
        <v>39</v>
      </c>
      <c r="E30" s="21" t="n">
        <f aca="false">B30*AmericanoPrice+C30*LattePrice+D30*CakePrice</f>
        <v>1153500</v>
      </c>
    </row>
    <row r="31" customFormat="false" ht="15" hidden="false" customHeight="false" outlineLevel="0" collapsed="false">
      <c r="A31" s="19" t="s">
        <v>60</v>
      </c>
      <c r="B31" s="20" t="n">
        <v>148</v>
      </c>
      <c r="C31" s="20" t="n">
        <v>96</v>
      </c>
      <c r="D31" s="20" t="n">
        <v>56</v>
      </c>
      <c r="E31" s="21" t="n">
        <f aca="false">B31*AmericanoPrice+C31*LattePrice+D31*CakePrice</f>
        <v>1558000</v>
      </c>
    </row>
    <row r="32" customFormat="false" ht="15" hidden="false" customHeight="false" outlineLevel="0" collapsed="false">
      <c r="A32" s="19" t="s">
        <v>61</v>
      </c>
      <c r="B32" s="20" t="n">
        <v>138</v>
      </c>
      <c r="C32" s="20" t="n">
        <v>89</v>
      </c>
      <c r="D32" s="20" t="n">
        <v>51</v>
      </c>
      <c r="E32" s="21" t="n">
        <f aca="false">B32*AmericanoPrice+C32*LattePrice+D32*CakePrice</f>
        <v>1442000</v>
      </c>
    </row>
    <row r="33" customFormat="false" ht="15" hidden="false" customHeight="false" outlineLevel="0" collapsed="false">
      <c r="A33" s="19" t="s">
        <v>62</v>
      </c>
      <c r="B33" s="20" t="n">
        <v>94</v>
      </c>
      <c r="C33" s="20" t="n">
        <v>58</v>
      </c>
      <c r="D33" s="20" t="n">
        <v>28</v>
      </c>
      <c r="E33" s="21" t="n">
        <f aca="false">B33*AmericanoPrice+C33*LattePrice+D33*CakePrice</f>
        <v>924000</v>
      </c>
    </row>
    <row r="34" customFormat="false" ht="15" hidden="false" customHeight="false" outlineLevel="0" collapsed="false">
      <c r="A34" s="22" t="s">
        <v>63</v>
      </c>
      <c r="B34" s="23" t="n">
        <v>92</v>
      </c>
      <c r="C34" s="23" t="n">
        <v>56</v>
      </c>
      <c r="D34" s="23" t="n">
        <v>27</v>
      </c>
      <c r="E34" s="24" t="n">
        <f aca="false">B34*AmericanoPrice+C34*LattePrice+D34*CakePrice</f>
        <v>897500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1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min="1" max="1" width="13" customWidth="1"/>
    <col min="2" max="2" width="13" customWidth="1"/>
    <col min="3" max="3" width="13" customWidth="1"/>
    <col min="4" max="4" width="11" customWidth="1"/>
    <col min="5" max="5" width="10" customWidth="1"/>
    <col min="6" max="6" width="9" customWidth="1"/>
    <col min="7" max="7" width="19" customWidth="1"/>
  </cols>
  <sheetData>
    <row r="1" customFormat="false" ht="28.35" hidden="false" customHeight="true" outlineLevel="0" collapsed="false">
      <c r="A1" s="25" t="s">
        <v>64</v>
      </c>
      <c r="B1" s="25"/>
      <c r="C1" s="25"/>
      <c r="D1" s="25"/>
      <c r="E1" s="25"/>
      <c r="F1" s="25"/>
      <c r="G1" s="25"/>
    </row>
    <row r="2" customFormat="false" ht="15" hidden="false" customHeight="true" outlineLevel="0" collapsed="false">
      <c r="A2" s="18" t="s">
        <v>65</v>
      </c>
      <c r="B2" s="18"/>
      <c r="C2" s="18"/>
      <c r="D2" s="18"/>
      <c r="E2" s="18"/>
      <c r="F2" s="18"/>
      <c r="G2" s="18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6" t="s">
        <v>66</v>
      </c>
      <c r="B4" s="6" t="s">
        <v>67</v>
      </c>
      <c r="C4" s="6" t="s">
        <v>68</v>
      </c>
      <c r="D4" s="6" t="s">
        <v>69</v>
      </c>
      <c r="E4" s="6" t="s">
        <v>8</v>
      </c>
      <c r="F4" s="6" t="s">
        <v>11</v>
      </c>
      <c r="G4" s="6" t="s">
        <v>70</v>
      </c>
    </row>
    <row r="5" customFormat="false" ht="15" hidden="false" customHeight="false" outlineLevel="0" collapsed="false">
      <c r="A5" s="8" t="s">
        <v>31</v>
      </c>
      <c r="B5" s="20" t="n">
        <v>4500</v>
      </c>
      <c r="C5" s="20" t="n">
        <v>1100</v>
      </c>
      <c r="D5" s="21" t="n">
        <f aca="false">SUM('상세 데이터'!B5:B34)</f>
        <v>3086</v>
      </c>
      <c r="E5" s="26" t="n">
        <f aca="false">B5*D5</f>
        <v>13887000</v>
      </c>
      <c r="F5" s="26" t="n">
        <f aca="false">C5*D5</f>
        <v>3394600</v>
      </c>
      <c r="G5" s="27" t="n">
        <f aca="false">IFERROR(E5/SUM($E$5:$E$7),0)</f>
        <v>0.449344766219058</v>
      </c>
    </row>
    <row r="6" customFormat="false" ht="15" hidden="false" customHeight="false" outlineLevel="0" collapsed="false">
      <c r="A6" s="8" t="s">
        <v>32</v>
      </c>
      <c r="B6" s="20" t="n">
        <v>5500</v>
      </c>
      <c r="C6" s="20" t="n">
        <v>1700</v>
      </c>
      <c r="D6" s="21" t="n">
        <f aca="false">SUM('상세 데이터'!C5:C34)</f>
        <v>1923</v>
      </c>
      <c r="E6" s="26" t="n">
        <f aca="false">B6*D6</f>
        <v>10576500</v>
      </c>
      <c r="F6" s="26" t="n">
        <f aca="false">C6*D6</f>
        <v>3269100</v>
      </c>
      <c r="G6" s="27" t="n">
        <f aca="false">IFERROR(E6/SUM($E$5:$E$7),0)</f>
        <v>0.342226176994014</v>
      </c>
    </row>
    <row r="7" customFormat="false" ht="15" hidden="false" customHeight="false" outlineLevel="0" collapsed="false">
      <c r="A7" s="15" t="s">
        <v>33</v>
      </c>
      <c r="B7" s="23" t="n">
        <v>6500</v>
      </c>
      <c r="C7" s="23" t="n">
        <v>2400</v>
      </c>
      <c r="D7" s="24" t="n">
        <f aca="false">SUM('상세 데이터'!D5:D34)</f>
        <v>991</v>
      </c>
      <c r="E7" s="28" t="n">
        <f aca="false">B7*D7</f>
        <v>6441500</v>
      </c>
      <c r="F7" s="28" t="n">
        <f aca="false">C7*D7</f>
        <v>2378400</v>
      </c>
      <c r="G7" s="29" t="n">
        <f aca="false">IFERROR(E7/SUM($E$5:$E$7),0)</f>
        <v>0.208429056786928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6.4" hidden="false" customHeight="false" outlineLevel="0" collapsed="false">
      <c r="A10" s="30" t="s">
        <v>71</v>
      </c>
      <c r="B10" s="30" t="s">
        <v>72</v>
      </c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73</v>
      </c>
      <c r="B11" s="31" t="n">
        <v>6800000</v>
      </c>
      <c r="C11" s="2"/>
      <c r="D11" s="2"/>
      <c r="E11" s="2"/>
      <c r="F11" s="2"/>
      <c r="G11" s="2"/>
    </row>
    <row r="12" customFormat="false" ht="15" hidden="false" customHeight="false" outlineLevel="0" collapsed="false">
      <c r="A12" s="2" t="s">
        <v>74</v>
      </c>
      <c r="B12" s="31" t="n">
        <v>2200000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" t="s">
        <v>75</v>
      </c>
      <c r="B13" s="31" t="n">
        <v>900000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</sheetData>
  <mergeCells count="2">
    <mergeCell ref="A1:G1"/>
    <mergeCell ref="A2:G2"/>
  </mergeCells>
  <printOptions horizontalCentered="1"/>
  <pageMargins left="0.7" right="0.7" top="0.75" bottom="0.75" header="0.3" footer="0.3"/>
  <pageSetup paperSize="9" orientation="landscape" fitToWidth="1" fitToHeight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1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55.2" hidden="false" customHeight="true" outlineLevel="0" collapsed="false">
      <c r="A1" s="17" t="s">
        <v>76</v>
      </c>
      <c r="B1" s="17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6.85" hidden="false" customHeight="true" outlineLevel="0" collapsed="false">
      <c r="A2" s="18" t="s">
        <v>77</v>
      </c>
      <c r="B2" s="1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6.4" hidden="false" customHeight="false" outlineLevel="0" collapsed="false">
      <c r="A4" s="6" t="s">
        <v>66</v>
      </c>
      <c r="B4" s="6" t="s">
        <v>70</v>
      </c>
      <c r="C4" s="2"/>
      <c r="D4" s="30" t="s">
        <v>78</v>
      </c>
      <c r="E4" s="30" t="s">
        <v>79</v>
      </c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8" t="s">
        <v>31</v>
      </c>
      <c r="B5" s="32" t="n">
        <f aca="false">'메뉴 분석'!G5</f>
        <v>0.449344766219058</v>
      </c>
      <c r="C5" s="2"/>
      <c r="D5" s="2" t="s">
        <v>80</v>
      </c>
      <c r="E5" s="33" t="n">
        <f aca="false">SUM('상세 데이터'!E5:E10)</f>
        <v>5468500</v>
      </c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8" t="s">
        <v>32</v>
      </c>
      <c r="B6" s="32" t="n">
        <f aca="false">'메뉴 분석'!G6</f>
        <v>0.342226176994014</v>
      </c>
      <c r="C6" s="2"/>
      <c r="D6" s="2" t="s">
        <v>81</v>
      </c>
      <c r="E6" s="33" t="n">
        <f aca="false">SUM('상세 데이터'!E11:E16)</f>
        <v>5618500</v>
      </c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15" t="s">
        <v>33</v>
      </c>
      <c r="B7" s="34" t="n">
        <f aca="false">'메뉴 분석'!G7</f>
        <v>0.208429056786928</v>
      </c>
      <c r="C7" s="2"/>
      <c r="D7" s="2" t="s">
        <v>82</v>
      </c>
      <c r="E7" s="33" t="n">
        <f aca="false">SUM('상세 데이터'!E17:E22)</f>
        <v>6210000</v>
      </c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 t="s">
        <v>83</v>
      </c>
      <c r="E8" s="33" t="n">
        <f aca="false">SUM('상세 데이터'!E23:E28)</f>
        <v>6645000</v>
      </c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 t="s">
        <v>84</v>
      </c>
      <c r="E9" s="33" t="n">
        <f aca="false">SUM('상세 데이터'!E29:E34)</f>
        <v>6963000</v>
      </c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</sheetData>
  <mergeCells count="2">
    <mergeCell ref="A1:B1"/>
    <mergeCell ref="A2:B2"/>
  </mergeCells>
  <printOptions horizontalCentered="1"/>
  <pageMargins left="0.7" right="0.7" top="0.75" bottom="0.75" header="0.3" footer="0.3"/>
  <pageSetup paperSize="9" orientation="portrait" fitToWidth="1" fitToHeight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30" t="s">
        <v>85</v>
      </c>
      <c r="B1" s="30" t="s">
        <v>86</v>
      </c>
    </row>
    <row r="2" customFormat="false" ht="15" hidden="false" customHeight="false" outlineLevel="0" collapsed="false">
      <c r="A2" s="2" t="s">
        <v>87</v>
      </c>
      <c r="B2" s="35" t="b">
        <f aca="false">AND(B3:B6)</f>
        <v>1</v>
      </c>
    </row>
    <row r="3" customFormat="false" ht="16.4" hidden="false" customHeight="false" outlineLevel="0" collapsed="false">
      <c r="A3" s="2" t="s">
        <v>88</v>
      </c>
      <c r="B3" s="35" t="b">
        <f aca="false">SUM('상세 데이터'!E5:E34)=SUM('메뉴 분석'!E5:E7)</f>
        <v>1</v>
      </c>
    </row>
    <row r="4" customFormat="false" ht="15" hidden="false" customHeight="false" outlineLevel="0" collapsed="false">
      <c r="A4" s="2" t="s">
        <v>89</v>
      </c>
      <c r="B4" s="35" t="b">
        <f aca="false">요약!B8-요약!B9-요약!B10=요약!B12</f>
        <v>1</v>
      </c>
    </row>
    <row r="5" customFormat="false" ht="15" hidden="false" customHeight="false" outlineLevel="0" collapsed="false">
      <c r="A5" s="2" t="s">
        <v>90</v>
      </c>
      <c r="B5" s="35" t="b">
        <f aca="false">ROUND(SUM('메뉴 분석'!G5:G7),10)=1</f>
        <v>1</v>
      </c>
    </row>
    <row r="6" customFormat="false" ht="15" hidden="false" customHeight="false" outlineLevel="0" collapsed="false">
      <c r="A6" s="2" t="s">
        <v>91</v>
      </c>
      <c r="B6" s="35" t="b">
        <f aca="false">SUM('상세 데이터'!B5:D34)=요약!B14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2026-09-07T16:29:20Z</dcterms:created>
  <dc:creator>재영 박</dc:creator>
  <dc:description/>
  <dc:language>ko-KR</dc:language>
  <cp:lastModifiedBy>재영 박</cp:lastModifiedBy>
  <dcterms:modified xsi:type="dcterms:W3CDTF">2026-09-07T16:29:21Z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