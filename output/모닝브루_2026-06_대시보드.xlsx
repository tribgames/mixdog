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대시보드" sheetId="1" state="visible" r:id="rId3"/>
    <sheet name="요약" sheetId="2" state="hidden" r:id="rId4"/>
    <sheet name="상세 데이터" sheetId="3" state="visible" r:id="rId5"/>
    <sheet name="메뉴 분석" sheetId="4" state="visible" r:id="rId6"/>
    <sheet name="Checks" sheetId="5" state="visible" r:id="rId7"/>
  </sheets>
  <definedNames>
    <definedName function="false" hidden="false" localSheetId="0" name="_xlnm.Print_Area" vbProcedure="false">대시보드!$A$1:$L$33</definedName>
    <definedName function="false" hidden="false" localSheetId="3" name="_xlnm.Print_Area" vbProcedure="false">'메뉴 분석'!$A$1:$G$14</definedName>
    <definedName function="false" hidden="false" localSheetId="2" name="_xlnm.Print_Area" vbProcedure="false">'상세 데이터'!$A$1:$E$36</definedName>
    <definedName function="false" hidden="false" name="AmericanoPrice" vbProcedure="false">'메뉴 분석'!$B$5</definedName>
    <definedName function="false" hidden="false" name="CakePrice" vbProcedure="false">'메뉴 분석'!$B$7</definedName>
    <definedName function="false" hidden="false" name="LattePrice" vbProcedure="false">'메뉴 분석'!$B$6</definedName>
    <definedName function="false" hidden="false" localSheetId="1" name="Excel_BuiltIn_Print_Area" vbProcedure="false">sheet1!$a$1:$r$40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A1" authorId="0">
      <text>
        <r>
          <rPr>
            <sz val="10"/>
            <rFont val="맑은 고딕"/>
            <family val="2"/>
          </rPr>
          <t xml:space="preserve">기존 모닝브루 보고서의 동일 데이터와 계산 결과를 연결한 디자인 개선본. 외부 자료 없음.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3</xdr:row>
                <xdr:rowOff>16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맑은 고딕"/>
            <family val="2"/>
          </rPr>
          <t xml:space="preserve">차트 표시 단위를 원에서 만원으로 바꾸기 위해 10,000으로 나눔. 원 단위 계산값은 상세 데이터 시트에 보존.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40</xdr:row>
                <xdr:rowOff>2</xdr:rowOff>
              </xdr:from>
              <xdr:to>
                <xdr:col>4</xdr:col>
                <xdr:colOff>15</xdr:colOff>
                <xdr:row>43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A1" authorId="0">
      <text>
        <r>
          <rPr>
            <sz val="10"/>
            <rFont val="맑은 고딕"/>
            <family val="2"/>
          </rPr>
          <t xml:space="preserve">Source: Mixdog 가상 시나리오. 실제 기업·시장자료가 아닙니다.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2</xdr:row>
                <xdr:rowOff>19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A1" authorId="0">
      <text>
        <r>
          <rPr>
            <sz val="10"/>
            <rFont val="맑은 고딕"/>
            <family val="2"/>
          </rPr>
          <t xml:space="preserve">Source: Mixdog 가상 입력값. 주말 판매 증가와 월중 성장을 가정했습니다.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2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A1" authorId="0">
      <text>
        <r>
          <rPr>
            <sz val="10"/>
            <rFont val="맑은 고딕"/>
            <family val="2"/>
          </rPr>
          <t xml:space="preserve">Source: Mixdog 가상 시나리오. 판매 단가와 재료비는 설명용 가정입니다.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2</xdr:row>
                <xdr:rowOff>18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맑은 고딕"/>
            <family val="2"/>
          </rPr>
          <t xml:space="preserve">의도된 가정 입력값: 아메리카노 판매 단가 4,500원. 계산 열이 아니며 노란 셀만 수정합니다.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4</xdr:row>
                <xdr:rowOff>2</xdr:rowOff>
              </xdr:from>
              <xdr:to>
                <xdr:col>4</xdr:col>
                <xdr:colOff>15</xdr:colOff>
                <xdr:row>7</xdr:row>
                <xdr:rowOff>16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맑은 고딕"/>
            <family val="2"/>
          </rPr>
          <t xml:space="preserve">의도된 가정 입력값: 카페라테 판매 단가 5,500원.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5</xdr:row>
                <xdr:rowOff>2</xdr:rowOff>
              </xdr:from>
              <xdr:to>
                <xdr:col>4</xdr:col>
                <xdr:colOff>15</xdr:colOff>
                <xdr:row>8</xdr:row>
                <xdr:rowOff>16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맑은 고딕"/>
            <family val="2"/>
          </rPr>
          <t xml:space="preserve">의도된 가정 입력값: 치즈케이크 판매 단가 6,500원.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6</xdr:row>
                <xdr:rowOff>2</xdr:rowOff>
              </xdr:from>
              <xdr:to>
                <xdr:col>4</xdr:col>
                <xdr:colOff>15</xdr:colOff>
                <xdr:row>9</xdr:row>
                <xdr:rowOff>16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맑은 고딕"/>
            <family val="2"/>
          </rPr>
          <t xml:space="preserve">Mixdog 가상 가정: 월 인건비 6,800,000원.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10</xdr:row>
                <xdr:rowOff>2</xdr:rowOff>
              </xdr:from>
              <xdr:to>
                <xdr:col>4</xdr:col>
                <xdr:colOff>15</xdr:colOff>
                <xdr:row>13</xdr:row>
                <xdr:rowOff>16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맑은 고딕"/>
            <family val="2"/>
          </rPr>
          <t xml:space="preserve">Mixdog 가상 가정: 월 임차료 2,200,000원.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11</xdr:row>
                <xdr:rowOff>2</xdr:rowOff>
              </xdr:from>
              <xdr:to>
                <xdr:col>4</xdr:col>
                <xdr:colOff>15</xdr:colOff>
                <xdr:row>14</xdr:row>
                <xdr:rowOff>16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맑은 고딕"/>
            <family val="2"/>
          </rPr>
          <t xml:space="preserve">Mixdog 가상 가정: 공과금·소모품 등 월 900,000원. 세금·이자·감가상각·결제 수수료 제외.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12</xdr:row>
                <xdr:rowOff>2</xdr:rowOff>
              </xdr:from>
              <xdr:to>
                <xdr:col>4</xdr:col>
                <xdr:colOff>15</xdr:colOff>
                <xdr:row>15</xdr:row>
                <xdr:rowOff>16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맑은 고딕"/>
            <family val="2"/>
          </rPr>
          <t xml:space="preserve">의도된 가정 입력값: 아메리카노 개당 재료비 1,100원.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4</xdr:row>
                <xdr:rowOff>2</xdr:rowOff>
              </xdr:from>
              <xdr:to>
                <xdr:col>5</xdr:col>
                <xdr:colOff>15</xdr:colOff>
                <xdr:row>7</xdr:row>
                <xdr:rowOff>16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맑은 고딕"/>
            <family val="2"/>
          </rPr>
          <t xml:space="preserve">의도된 가정 입력값: 카페라테 개당 재료비 1,700원.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5</xdr:row>
                <xdr:rowOff>2</xdr:rowOff>
              </xdr:from>
              <xdr:to>
                <xdr:col>5</xdr:col>
                <xdr:colOff>15</xdr:colOff>
                <xdr:row>8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맑은 고딕"/>
            <family val="2"/>
          </rPr>
          <t xml:space="preserve">의도된 가정 입력값: 치즈케이크 개당 재료비 2,400원.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6</xdr:row>
                <xdr:rowOff>2</xdr:rowOff>
              </xdr:from>
              <xdr:to>
                <xdr:col>5</xdr:col>
                <xdr:colOff>15</xdr:colOff>
                <xdr:row>9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<sst xmlns="http://schemas.openxmlformats.org/spreadsheetml/2006/main" count="102" uniqueCount="93">
  <si>
    <t xml:space="preserve">MORNING BREW / MONTHLY REVIEW</t>
  </si>
  <si>
    <t xml:space="preserve">모닝브루 6월 운영 보고서</t>
  </si>
  <si>
    <t xml:space="preserve">2026.06.01–06.30  |  가상 카페 · 예시 데이터  |  전일 영업</t>
  </si>
  <si>
    <t xml:space="preserve">월 매출</t>
  </si>
  <si>
    <t xml:space="preserve">순이익 · 단순 모형</t>
  </si>
  <si>
    <t xml:space="preserve">순이익률</t>
  </si>
  <si>
    <t xml:space="preserve">운영 제안  |  주말의 판매 증가를 반영해 발주량과 근무 배치를 검토합니다.</t>
  </si>
  <si>
    <t xml:space="preserve">가상 실적입니다. 순이익은 세금·감가상각·이자·결제 수수료를 제외한 단순 모형입니다.</t>
  </si>
  <si>
    <t xml:space="preserve">차트 연결 데이터 · 자동 계산 / 위쪽 인쇄 영역에는 포함되지 않음</t>
  </si>
  <si>
    <t xml:space="preserve">6월 일자</t>
  </si>
  <si>
    <t xml:space="preserve">매출(만원)</t>
  </si>
  <si>
    <t xml:space="preserve">메뉴</t>
  </si>
  <si>
    <t xml:space="preserve">매출 비중</t>
  </si>
  <si>
    <t xml:space="preserve">월간 운영 요약</t>
  </si>
  <si>
    <t xml:space="preserve">모닝브루 월간 운영 보고서</t>
  </si>
  <si>
    <t xml:space="preserve">2026년 6월 | 가상 카페 · 예시 데이터 | 단위: 원</t>
  </si>
  <si>
    <t xml:space="preserve">수정 안내: 상세 데이터의 판매량과 메뉴 분석의 노란 입력 셀을 변경하세요.</t>
  </si>
  <si>
    <t xml:space="preserve">운영 지표</t>
  </si>
  <si>
    <t xml:space="preserve">금액·비율</t>
  </si>
  <si>
    <t xml:space="preserve">정의</t>
  </si>
  <si>
    <t xml:space="preserve">운영 제안</t>
  </si>
  <si>
    <t xml:space="preserve">매출</t>
  </si>
  <si>
    <t xml:space="preserve">판매금액 합계</t>
  </si>
  <si>
    <t xml:space="preserve">주말 판매량에 맞춰 발주와 근무 배치를 검토합니다.</t>
  </si>
  <si>
    <t xml:space="preserve">재료비</t>
  </si>
  <si>
    <t xml:space="preserve">판매량 × 개당 재료비</t>
  </si>
  <si>
    <t xml:space="preserve">고정비</t>
  </si>
  <si>
    <t xml:space="preserve">인건비·임차료·기타</t>
  </si>
  <si>
    <t xml:space="preserve">• 가상 실적이며 세금·감가상각·이자·결제 수수료는 제외했습니다.</t>
  </si>
  <si>
    <t xml:space="preserve">총비용</t>
  </si>
  <si>
    <t xml:space="preserve">재료비 + 고정비</t>
  </si>
  <si>
    <t xml:space="preserve">• 파랑·노란 배경 = 수정 가능 / 검정 = 계산 / 초록 = 다른 시트 연결</t>
  </si>
  <si>
    <t xml:space="preserve">순이익(단순 모형)</t>
  </si>
  <si>
    <t xml:space="preserve">매출 − 총비용</t>
  </si>
  <si>
    <t xml:space="preserve">• 판매량과 단가·비용을 수정하면 수식과 차트가 갱신됩니다.</t>
  </si>
  <si>
    <t xml:space="preserve">순이익 ÷ 매출</t>
  </si>
  <si>
    <t xml:space="preserve">판매 수량</t>
  </si>
  <si>
    <t xml:space="preserve">음료·디저트 합계</t>
  </si>
  <si>
    <t xml:space="preserve">일평균 매출</t>
  </si>
  <si>
    <t xml:space="preserve">매출 ÷ 영업일 수</t>
  </si>
  <si>
    <t xml:space="preserve">일별 판매량과 매출</t>
  </si>
  <si>
    <t xml:space="preserve">2026년 6월 | 전일 영업 가정 | 판매량: 개 · 매출: 원</t>
  </si>
  <si>
    <t xml:space="preserve">영업일</t>
  </si>
  <si>
    <t xml:space="preserve">아메리카노</t>
  </si>
  <si>
    <t xml:space="preserve">카페라테</t>
  </si>
  <si>
    <t xml:space="preserve">치즈케이크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</si>
  <si>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</si>
  <si>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</si>
  <si>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</si>
  <si>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</si>
  <si>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</si>
  <si>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</si>
  <si>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</si>
  <si>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</si>
  <si>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</si>
  <si>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</si>
  <si>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</si>
  <si>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</si>
  <si>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</si>
  <si>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</si>
  <si>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</si>
  <si>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</si>
  <si>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</si>
  <si>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</si>
  <si>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</si>
  <si>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</si>
  <si>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</si>
  <si>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</si>
  <si>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</si>
  <si>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</si>
  <si>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</si>
  <si>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</si>
  <si>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</si>
  <si>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</si>
  <si>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</si>
  <si>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</si>
  <si>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메뉴별 매출과 비용 구조</t>
  </si>
  <si>
    <t xml:space="preserve">금액: 원 · 판매량: 개 | 단가·비용은 가정값</t>
  </si>
  <si>
    <t xml:space="preserve">판매 단가</t>
  </si>
  <si>
    <t xml:space="preserve">개당 재료비</t>
  </si>
  <si>
    <t xml:space="preserve">월 판매량</t>
  </si>
  <si>
    <t xml:space="preserve">고정비 항목</t>
  </si>
  <si>
    <t xml:space="preserve">월 비용(원)</t>
  </si>
  <si>
    <t xml:space="preserve">인건비</t>
  </si>
  <si>
    <t xml:space="preserve">임차료</t>
  </si>
  <si>
    <t xml:space="preserve">기타 운영비</t>
  </si>
  <si>
    <t xml:space="preserve">검증 항목</t>
  </si>
  <si>
    <t xml:space="preserve">통과 여부</t>
  </si>
  <si>
    <t xml:space="preserve">전체 검증</t>
  </si>
  <si>
    <t xml:space="preserve">일별·메뉴별 매출 일치</t>
  </si>
  <si>
    <t xml:space="preserve">손익 계산 일치</t>
  </si>
  <si>
    <t xml:space="preserve">메뉴별 비중 합계</t>
  </si>
  <si>
    <t xml:space="preserve">판매량 합계 일치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</si>
</sst>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원&quot;"/>
    <numFmt numFmtId="166" formatCode="0.0%"/>
    <numFmt numFmtId="167" formatCode="0"/>
    <numFmt numFmtId="168" formatCode="0%"/>
    <numFmt numFmtId="169" formatCode="#,##0;\(#,##0\);\-"/>
    <numFmt numFmtId="170" formatCode="0.0%;\(0.0%\);\-"/>
    <numFmt numFmtId="171" formatCode="yyyy\-mm\-dd"/>
    <numFmt numFmtId="172" formatCode="#,##0"/>
  </numFmts>
  <fonts count="36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45C49"/>
      <name val="맑은 고딕"/>
      <family val="2"/>
      <charset val="1"/>
    </font>
    <font>
      <b val="true"/>
      <sz val="25"/>
      <color rgb="FF23352F"/>
      <name val="맑은 고딕"/>
      <family val="2"/>
      <charset val="1"/>
    </font>
    <font>
      <sz val="10"/>
      <color rgb="FF68766E"/>
      <name val="맑은 고딕"/>
      <family val="2"/>
      <charset val="1"/>
    </font>
    <font>
      <sz val="11"/>
      <color rgb="FF23352F"/>
      <name val="맑은 고딕"/>
      <family val="2"/>
      <charset val="1"/>
    </font>
    <font>
      <b val="true"/>
      <sz val="11"/>
      <color rgb="FF63746A"/>
      <name val="맑은 고딕"/>
      <family val="2"/>
      <charset val="1"/>
    </font>
    <font>
      <b val="true"/>
      <sz val="27"/>
      <color rgb="FF245C49"/>
      <name val="맑은 고딕"/>
      <family val="2"/>
      <charset val="1"/>
    </font>
    <font>
      <b val="true"/>
      <sz val="15"/>
      <color rgb="FF23352F"/>
      <name val="맑은 고딕"/>
      <family val="2"/>
      <charset val="1"/>
    </font>
    <font>
      <sz val="11"/>
      <color rgb="FF63746A"/>
      <name val="맑은 고딕"/>
      <family val="2"/>
      <charset val="1"/>
    </font>
    <font>
      <b val="true"/>
      <sz val="11"/>
      <color rgb="FF23352F"/>
      <name val="맑은 고딕"/>
      <family val="2"/>
      <charset val="1"/>
    </font>
    <font>
      <sz val="9"/>
      <color rgb="FF68766E"/>
      <name val="맑은 고딕"/>
      <family val="2"/>
      <charset val="1"/>
    </font>
    <font>
      <sz val="10"/>
      <name val="맑은 고딕"/>
      <family val="2"/>
    </font>
    <font>
      <b val="true"/>
      <sz val="12"/>
      <color rgb="FF171717"/>
      <name val="맑은 고딕"/>
      <family val="2"/>
    </font>
    <font>
      <b val="true"/>
      <sz val="12"/>
      <color rgb="FF171717"/>
      <name val="Arial"/>
      <family val="2"/>
    </font>
    <font>
      <sz val="9"/>
      <color rgb="FF5F6368"/>
      <name val="맑은 고딕"/>
      <family val="2"/>
    </font>
    <font>
      <b val="true"/>
      <sz val="10"/>
      <color rgb="FFFFFFFF"/>
      <name val="맑은 고딕"/>
      <family val="2"/>
    </font>
    <font>
      <b val="true"/>
      <sz val="9"/>
      <color rgb="FF1F7A55"/>
      <name val="맑은 고딕"/>
      <family val="2"/>
      <charset val="1"/>
    </font>
    <font>
      <sz val="11"/>
      <name val="맑은 고딕"/>
      <family val="2"/>
      <charset val="1"/>
    </font>
    <font>
      <b val="true"/>
      <sz val="22"/>
      <color rgb="FF17221C"/>
      <name val="맑은 고딕"/>
      <family val="2"/>
      <charset val="1"/>
    </font>
    <font>
      <i val="true"/>
      <sz val="10.5"/>
      <color rgb="FF5A635F"/>
      <name val="맑은 고딕"/>
      <family val="2"/>
      <charset val="1"/>
    </font>
    <font>
      <b val="true"/>
      <sz val="10.5"/>
      <color rgb="FF17221C"/>
      <name val="맑은 고딕"/>
      <family val="2"/>
      <charset val="1"/>
    </font>
    <font>
      <b val="true"/>
      <sz val="10"/>
      <color rgb="FFFFFFFF"/>
      <name val="맑은 고딕"/>
      <family val="2"/>
      <charset val="1"/>
    </font>
    <font>
      <sz val="9.5"/>
      <color rgb="FF17221C"/>
      <name val="맑은 고딕"/>
      <family val="2"/>
      <charset val="1"/>
    </font>
    <font>
      <sz val="9.5"/>
      <color rgb="FF008000"/>
      <name val="맑은 고딕"/>
      <family val="2"/>
      <charset val="1"/>
    </font>
    <font>
      <b val="true"/>
      <sz val="15"/>
      <color rgb="FF17221C"/>
      <name val="맑은 고딕"/>
      <family val="2"/>
      <charset val="1"/>
    </font>
    <font>
      <sz val="10"/>
      <color rgb="FF17221C"/>
      <name val="맑은 고딕"/>
      <family val="2"/>
      <charset val="1"/>
    </font>
    <font>
      <sz val="9.5"/>
      <color rgb="FF000000"/>
      <name val="맑은 고딕"/>
      <family val="2"/>
      <charset val="1"/>
    </font>
    <font>
      <b val="true"/>
      <sz val="9.5"/>
      <color rgb="FF17221C"/>
      <name val="맑은 고딕"/>
      <family val="2"/>
      <charset val="1"/>
    </font>
    <font>
      <b val="true"/>
      <sz val="9.5"/>
      <color rgb="FF008000"/>
      <name val="맑은 고딕"/>
      <family val="2"/>
      <charset val="1"/>
    </font>
    <font>
      <b val="true"/>
      <sz val="21"/>
      <color rgb="FF23352F"/>
      <name val="맑은 고딕"/>
      <family val="2"/>
      <charset val="1"/>
    </font>
    <font>
      <i val="true"/>
      <sz val="11"/>
      <color rgb="FF23352F"/>
      <name val="맑은 고딕"/>
      <family val="2"/>
      <charset val="1"/>
    </font>
    <font>
      <b val="true"/>
      <sz val="11"/>
      <color rgb="FFFFFFFF"/>
      <name val="맑은 고딕"/>
      <family val="2"/>
      <charset val="1"/>
    </font>
    <font>
      <sz val="11"/>
      <color rgb="FF0000FF"/>
      <name val="맑은 고딕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8F9F6"/>
      </patternFill>
    </fill>
    <fill>
      <patternFill patternType="solid">
        <fgColor rgb="FFEDF3EF"/>
        <bgColor rgb="FFE8F1EC"/>
      </patternFill>
    </fill>
    <fill>
      <patternFill patternType="solid">
        <fgColor rgb="FFF8F9F6"/>
        <bgColor rgb="FFFFFFFF"/>
      </patternFill>
    </fill>
    <fill>
      <patternFill patternType="solid">
        <fgColor rgb="FFE8F1EC"/>
        <bgColor rgb="FFEDF3EF"/>
      </patternFill>
    </fill>
    <fill>
      <patternFill patternType="solid">
        <fgColor rgb="FF1F7A55"/>
        <bgColor rgb="FF245C49"/>
      </patternFill>
    </fill>
    <fill>
      <patternFill patternType="solid">
        <fgColor rgb="FF132C24"/>
        <bgColor rgb="FF17221C"/>
      </patternFill>
    </fill>
    <fill>
      <patternFill patternType="solid">
        <fgColor rgb="FF245C49"/>
        <bgColor rgb="FF1F7A55"/>
      </patternFill>
    </fill>
    <fill>
      <patternFill patternType="solid">
        <fgColor rgb="FFFFF2CC"/>
        <bgColor rgb="FFEDF3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4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2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8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31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35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4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7A55"/>
          <bgColor rgb="FF000000"/>
        </patternFill>
      </fill>
    </dxf>
    <dxf>
      <fill>
        <patternFill patternType="solid">
          <fgColor rgb="FFE8F1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2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245C49"/>
          <bgColor rgb="FF000000"/>
        </patternFill>
      </fill>
    </dxf>
    <dxf>
      <fill>
        <patternFill patternType="solid">
          <fgColor rgb="FF23352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11" type="wholeTable"/>
      <tableStyleElement dxfId="12" type="firstColumnStripe"/>
      <tableStyleElement dxfId="13" type="firstRowStripe"/>
      <tableStyleElement dxfId="14" type="lastColumn"/>
      <tableStyleElement dxfId="15" type="firstColumn"/>
      <tableStyleElement dxfId="16" type="headerRow"/>
      <tableStyleElement dxfId="17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A635F"/>
      <rgbColor rgb="FF800080"/>
      <rgbColor rgb="FF1F7A55"/>
      <rgbColor rgb="FFC7CBD1"/>
      <rgbColor rgb="FF68766E"/>
      <rgbColor rgb="FF9999FF"/>
      <rgbColor rgb="FF993366"/>
      <rgbColor rgb="FFFFF2CC"/>
      <rgbColor rgb="FFE8F1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45C49"/>
      <rgbColor rgb="FF0000FF"/>
      <rgbColor rgb="FF00CCFF"/>
      <rgbColor rgb="FFEDF3EF"/>
      <rgbColor rgb="FFE7E9EC"/>
      <rgbColor rgb="FFF8F9F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368"/>
      <rgbColor rgb="FF969696"/>
      <rgbColor rgb="FF171717"/>
      <rgbColor rgb="FF63746A"/>
      <rgbColor rgb="FF132C24"/>
      <rgbColor rgb="FF17221C"/>
      <rgbColor rgb="FF993300"/>
      <rgbColor rgb="FF993366"/>
      <rgbColor rgb="FF333399"/>
      <rgbColor rgb="FF23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Arial"/>
              </a:rPr>
              <a:t>일별 매출 추이 · 만원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대시보드!$B$40</c:f>
              <c:strCache>
                <c:ptCount val="1"/>
                <c:pt idx="0">
                  <c:v>매출(만원)</c:v>
                </c:pt>
              </c:strCache>
            </c:strRef>
          </c:tx>
          <c:spPr>
            <a:solidFill>
              <a:srgbClr val="245C49"/>
            </a:solidFill>
            <a:ln cap="rnd" w="28440">
              <a:solidFill>
                <a:srgbClr val="245C49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대시보드!$A$41:$A$70</c:f>
              <c:strCache>
                <c:ptCount val="30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대시보드!$B$41:$B$70</c:f>
              <c:numCache>
                <c:formatCode>General</c:formatCode>
                <c:ptCount val="30"/>
                <c:pt idx="0">
                  <c:v>77.6</c:v>
                </c:pt>
                <c:pt idx="1">
                  <c:v>73.4</c:v>
                </c:pt>
                <c:pt idx="2">
                  <c:v>81.9</c:v>
                </c:pt>
                <c:pt idx="3">
                  <c:v>85</c:v>
                </c:pt>
                <c:pt idx="4">
                  <c:v>96.35</c:v>
                </c:pt>
                <c:pt idx="5">
                  <c:v>132.6</c:v>
                </c:pt>
                <c:pt idx="6">
                  <c:v>124.4</c:v>
                </c:pt>
                <c:pt idx="7">
                  <c:v>80.25</c:v>
                </c:pt>
                <c:pt idx="8">
                  <c:v>77.15</c:v>
                </c:pt>
                <c:pt idx="9">
                  <c:v>86.65</c:v>
                </c:pt>
                <c:pt idx="10">
                  <c:v>89.75</c:v>
                </c:pt>
                <c:pt idx="11">
                  <c:v>103.65</c:v>
                </c:pt>
                <c:pt idx="12">
                  <c:v>140.45</c:v>
                </c:pt>
                <c:pt idx="13">
                  <c:v>130.5</c:v>
                </c:pt>
                <c:pt idx="14">
                  <c:v>83.35</c:v>
                </c:pt>
                <c:pt idx="15">
                  <c:v>81.25</c:v>
                </c:pt>
                <c:pt idx="16">
                  <c:v>91.4</c:v>
                </c:pt>
                <c:pt idx="17">
                  <c:v>94.05</c:v>
                </c:pt>
                <c:pt idx="18">
                  <c:v>109.4</c:v>
                </c:pt>
                <c:pt idx="19">
                  <c:v>148.95</c:v>
                </c:pt>
                <c:pt idx="20">
                  <c:v>136.9</c:v>
                </c:pt>
                <c:pt idx="21">
                  <c:v>88.1</c:v>
                </c:pt>
                <c:pt idx="22">
                  <c:v>85</c:v>
                </c:pt>
                <c:pt idx="23">
                  <c:v>96.15</c:v>
                </c:pt>
                <c:pt idx="24">
                  <c:v>98.8</c:v>
                </c:pt>
                <c:pt idx="25">
                  <c:v>115.35</c:v>
                </c:pt>
                <c:pt idx="26">
                  <c:v>155.8</c:v>
                </c:pt>
                <c:pt idx="27">
                  <c:v>144.2</c:v>
                </c:pt>
                <c:pt idx="28">
                  <c:v>92.4</c:v>
                </c:pt>
                <c:pt idx="29">
                  <c:v>89.75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2766337"/>
        <c:axId val="17085100"/>
      </c:lineChart>
      <c:catAx>
        <c:axId val="927663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C7CBD1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17085100"/>
        <c:crosses val="autoZero"/>
        <c:auto val="1"/>
        <c:lblAlgn val="ctr"/>
        <c:lblOffset val="100"/>
        <c:noMultiLvlLbl val="0"/>
      </c:catAx>
      <c:valAx>
        <c:axId val="1708510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9EC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927663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Arial"/>
              </a:rPr>
              <a:t>메뉴별 매출 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대시보드!$F$40</c:f>
              <c:strCache>
                <c:ptCount val="1"/>
                <c:pt idx="0">
                  <c:v>매출 비중</c:v>
                </c:pt>
              </c:strCache>
            </c:strRef>
          </c:tx>
          <c:spPr>
            <a:solidFill>
              <a:srgbClr val="245C49"/>
            </a:solidFill>
            <a:ln w="12600">
              <a:noFill/>
            </a:ln>
          </c:spPr>
          <c:invertIfNegative val="0"/>
          <c:dLbls>
            <c:numFmt formatCode="0%" sourceLinked="0"/>
            <c:txPr>
              <a:bodyPr wrap="square"/>
              <a:lstStyle/>
              <a:p>
                <a:pPr>
                  <a:defRPr sz="1000" b="1" u="none" strike="noStrike">
                    <a:solidFill>
                      <a:srgbClr val="FFFFFF"/>
                    </a:solidFill>
                    <a:uFillTx/>
                    <a:latin typeface="Arial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대시보드!$E$41:$E$43</c:f>
              <c:strCache>
                <c:ptCount val="3"/>
                <c:pt idx="0">
                  <c:v>아메리카노</c:v>
                </c:pt>
                <c:pt idx="1">
                  <c:v>카페라테</c:v>
                </c:pt>
                <c:pt idx="2">
                  <c:v>치즈케이크</c:v>
                </c:pt>
              </c:strCache>
            </c:strRef>
          </c:cat>
          <c:val>
            <c:numRef>
              <c:f>대시보드!$F$41:$F$43</c:f>
              <c:numCache>
                <c:formatCode>0.0%</c:formatCode>
                <c:ptCount val="3"/>
                <c:pt idx="0">
                  <c:v>0.449344766219058</c:v>
                </c:pt>
                <c:pt idx="1">
                  <c:v>0.342226176994014</c:v>
                </c:pt>
                <c:pt idx="2">
                  <c:v>0.208429056786928</c:v>
                </c:pt>
              </c:numCache>
            </c:numRef>
          </c:val>
        </c:ser>
        <c:gapWidth val="90"/>
        <c:overlap val="-20"/>
        <c:axId val="99035946"/>
        <c:axId val="50923097"/>
      </c:barChart>
      <c:catAx>
        <c:axId val="990359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C7CBD1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50923097"/>
        <c:crosses val="autoZero"/>
        <c:auto val="1"/>
        <c:lblAlgn val="ctr"/>
        <c:lblOffset val="100"/>
        <c:noMultiLvlLbl val="0"/>
      </c:catAx>
      <c:valAx>
        <c:axId val="5092309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9E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99035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12600</xdr:rowOff>
    </xdr:from>
    <xdr:to>
      <xdr:col>6</xdr:col>
      <xdr:colOff>544320</xdr:colOff>
      <xdr:row>25</xdr:row>
      <xdr:rowOff>88200</xdr:rowOff>
    </xdr:to>
    <xdr:graphicFrame>
      <xdr:nvGraphicFramePr>
        <xdr:cNvPr id="1" name="Chart 1"/>
        <xdr:cNvGraphicFramePr/>
      </xdr:nvGraphicFramePr>
      <xdr:xfrm>
        <a:off x="0" y="2603520"/>
        <a:ext cx="5523840" cy="298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672120</xdr:colOff>
      <xdr:row>10</xdr:row>
      <xdr:rowOff>12600</xdr:rowOff>
    </xdr:from>
    <xdr:to>
      <xdr:col>11</xdr:col>
      <xdr:colOff>14040</xdr:colOff>
      <xdr:row>25</xdr:row>
      <xdr:rowOff>88200</xdr:rowOff>
    </xdr:to>
    <xdr:graphicFrame>
      <xdr:nvGraphicFramePr>
        <xdr:cNvPr id="2" name="Chart 1"/>
        <xdr:cNvGraphicFramePr/>
      </xdr:nvGraphicFramePr>
      <xdr:xfrm>
        <a:off x="5651640" y="2603520"/>
        <a:ext cx="3491640" cy="298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ilySales" displayName="DailySales" ref="A4:E34" headerRowCount="1" totalsRowCount="0" totalsRowShown="0">
  <autoFilter ref="A4:E34"/>
  <tableColumns count="5">
    <tableColumn id="1" name="영업일"/>
    <tableColumn id="2" name="아메리카노"/>
    <tableColumn id="3" name="카페라테"/>
    <tableColumn id="4" name="치즈케이크"/>
    <tableColumn id="5" name="매출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MenuSales" displayName="MenuSales" ref="A4:G7" headerRowCount="1" totalsRowCount="0" totalsRowShown="0">
  <autoFilter ref="A4:G7"/>
  <tableColumns count="7">
    <tableColumn id="1" name="메뉴"/>
    <tableColumn id="2" name="판매 단가"/>
    <tableColumn id="3" name="개당 재료비"/>
    <tableColumn id="4" name="월 판매량"/>
    <tableColumn id="5" name="매출"/>
    <tableColumn id="6" name="재료비"/>
    <tableColumn id="7" name="매출 비중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SummaryTable" displayName="SummaryTable" ref="A7:C15" headerRowCount="1" totalsRowCount="0" totalsRowShown="0">
  <autoFilter ref="A7:C15"/>
  <tableColumns count="3">
    <tableColumn id="1" name="운영 지표"/>
    <tableColumn id="2" name="금액·비율"/>
    <tableColumn id="3" name="정의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0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2109375" defaultRowHeight="15" customHeight="false" zeroHeight="false" outlineLevelRow="0" outlineLevelCol="0"/>
  <cols>
    <col collapsed="false" customWidth="true" hidden="false" outlineLevel="0" max="12" min="1" style="1" width="10.8"/>
  </cols>
  <sheetData>
    <row r="1" customFormat="false" ht="17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6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0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4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23" hidden="false" customHeight="true" outlineLevel="0" collapsed="false">
      <c r="A5" s="6" t="s">
        <v>3</v>
      </c>
      <c r="B5" s="6"/>
      <c r="C5" s="6"/>
      <c r="D5" s="6"/>
      <c r="E5" s="6" t="s">
        <v>4</v>
      </c>
      <c r="F5" s="6"/>
      <c r="G5" s="6"/>
      <c r="H5" s="6"/>
      <c r="I5" s="6" t="s">
        <v>5</v>
      </c>
      <c r="J5" s="6"/>
      <c r="K5" s="6"/>
      <c r="L5" s="6"/>
    </row>
    <row r="6" customFormat="false" ht="27" hidden="false" customHeight="true" outlineLevel="0" collapsed="false">
      <c r="A6" s="7" t="n">
        <f aca="false">요약!B8</f>
        <v>30905000</v>
      </c>
      <c r="B6" s="7"/>
      <c r="C6" s="7"/>
      <c r="D6" s="7"/>
      <c r="E6" s="7" t="n">
        <f aca="false">요약!B12</f>
        <v>11962900</v>
      </c>
      <c r="F6" s="7"/>
      <c r="G6" s="7"/>
      <c r="H6" s="7"/>
      <c r="I6" s="8" t="n">
        <f aca="false">요약!B13</f>
        <v>0.387086232001294</v>
      </c>
      <c r="J6" s="8"/>
      <c r="K6" s="8"/>
      <c r="L6" s="8"/>
    </row>
    <row r="7" customFormat="false" ht="22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8"/>
      <c r="J7" s="8"/>
      <c r="K7" s="8"/>
      <c r="L7" s="8"/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24" hidden="false" customHeight="true" outlineLevel="0" collapsed="false">
      <c r="A9" s="9" t="str">
        <f aca="false">"아메리카노가 매출의 "&amp;TEXT('메뉴 분석'!G5,"0.0%")&amp;"를 차지합니다."</f>
        <v>아메리카노가 매출의 44.9%를 차지합니다.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customFormat="false" ht="6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19" hidden="false" customHeight="true" outlineLevel="0" collapsed="false">
      <c r="A11" s="10" t="str">
        <f aca="false">"총비용 "&amp;TEXT(요약!B11,"#,##0")&amp;"원  ·  판매 "&amp;TEXT(요약!B14,"#,##0")&amp;"개  ·  일평균 매출 "&amp;TEXT(요약!B15,"#,##0")&amp;"원"</f>
        <v>총비용 18,942,100원  ·  판매 6,000개  ·  일평균 매출 1,030,167원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1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1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customFormat="false" ht="1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1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1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customFormat="false" ht="1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customFormat="false" ht="15" hidden="false" customHeight="true" outlineLevel="0" collapsed="false">
      <c r="A31" s="11" t="s">
        <v>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15" hidden="false" customHeight="true" outlineLevel="0" collapsed="false">
      <c r="A33" s="12" t="s">
        <v>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9" customFormat="false" ht="15" hidden="false" customHeight="true" outlineLevel="0" collapsed="false">
      <c r="A39" s="1" t="s">
        <v>8</v>
      </c>
    </row>
    <row r="40" customFormat="false" ht="15" hidden="false" customHeight="true" outlineLevel="0" collapsed="false">
      <c r="A40" s="1" t="s">
        <v>9</v>
      </c>
      <c r="B40" s="1" t="s">
        <v>10</v>
      </c>
      <c r="E40" s="1" t="s">
        <v>11</v>
      </c>
      <c r="F40" s="1" t="s">
        <v>12</v>
      </c>
    </row>
    <row r="41" customFormat="false" ht="15" hidden="false" customHeight="true" outlineLevel="0" collapsed="false">
      <c r="A41" s="1" t="str">
        <f aca="false">RIGHT('상세 데이터'!A5,2)</f>
        <v>01</v>
      </c>
      <c r="B41" s="1" t="n">
        <f aca="false">'상세 데이터'!E5/10000</f>
        <v>77.6</v>
      </c>
      <c r="E41" s="1" t="str">
        <f aca="false">'메뉴 분석'!A5</f>
        <v>아메리카노</v>
      </c>
      <c r="F41" s="13" t="n">
        <f aca="false">'메뉴 분석'!G5</f>
        <v>0.449344766219058</v>
      </c>
    </row>
    <row r="42" customFormat="false" ht="15" hidden="false" customHeight="true" outlineLevel="0" collapsed="false">
      <c r="A42" s="1" t="str">
        <f aca="false">RIGHT('상세 데이터'!A6,2)</f>
        <v>02</v>
      </c>
      <c r="B42" s="1" t="n">
        <f aca="false">'상세 데이터'!E6/10000</f>
        <v>73.4</v>
      </c>
      <c r="E42" s="1" t="str">
        <f aca="false">'메뉴 분석'!A6</f>
        <v>카페라테</v>
      </c>
      <c r="F42" s="13" t="n">
        <f aca="false">'메뉴 분석'!G6</f>
        <v>0.342226176994014</v>
      </c>
    </row>
    <row r="43" customFormat="false" ht="15" hidden="false" customHeight="true" outlineLevel="0" collapsed="false">
      <c r="A43" s="1" t="str">
        <f aca="false">RIGHT('상세 데이터'!A7,2)</f>
        <v>03</v>
      </c>
      <c r="B43" s="1" t="n">
        <f aca="false">'상세 데이터'!E7/10000</f>
        <v>81.9</v>
      </c>
      <c r="E43" s="1" t="str">
        <f aca="false">'메뉴 분석'!A7</f>
        <v>치즈케이크</v>
      </c>
      <c r="F43" s="13" t="n">
        <f aca="false">'메뉴 분석'!G7</f>
        <v>0.208429056786928</v>
      </c>
    </row>
    <row r="44" customFormat="false" ht="15" hidden="false" customHeight="true" outlineLevel="0" collapsed="false">
      <c r="A44" s="1" t="str">
        <f aca="false">RIGHT('상세 데이터'!A8,2)</f>
        <v>04</v>
      </c>
      <c r="B44" s="1" t="n">
        <f aca="false">'상세 데이터'!E8/10000</f>
        <v>85</v>
      </c>
    </row>
    <row r="45" customFormat="false" ht="15" hidden="false" customHeight="true" outlineLevel="0" collapsed="false">
      <c r="A45" s="1" t="str">
        <f aca="false">RIGHT('상세 데이터'!A9,2)</f>
        <v>05</v>
      </c>
      <c r="B45" s="1" t="n">
        <f aca="false">'상세 데이터'!E9/10000</f>
        <v>96.35</v>
      </c>
    </row>
    <row r="46" customFormat="false" ht="15" hidden="false" customHeight="true" outlineLevel="0" collapsed="false">
      <c r="A46" s="1" t="str">
        <f aca="false">RIGHT('상세 데이터'!A10,2)</f>
        <v>06</v>
      </c>
      <c r="B46" s="1" t="n">
        <f aca="false">'상세 데이터'!E10/10000</f>
        <v>132.6</v>
      </c>
    </row>
    <row r="47" customFormat="false" ht="15" hidden="false" customHeight="true" outlineLevel="0" collapsed="false">
      <c r="A47" s="1" t="str">
        <f aca="false">RIGHT('상세 데이터'!A11,2)</f>
        <v>07</v>
      </c>
      <c r="B47" s="1" t="n">
        <f aca="false">'상세 데이터'!E11/10000</f>
        <v>124.4</v>
      </c>
    </row>
    <row r="48" customFormat="false" ht="15" hidden="false" customHeight="true" outlineLevel="0" collapsed="false">
      <c r="A48" s="1" t="str">
        <f aca="false">RIGHT('상세 데이터'!A12,2)</f>
        <v>08</v>
      </c>
      <c r="B48" s="1" t="n">
        <f aca="false">'상세 데이터'!E12/10000</f>
        <v>80.25</v>
      </c>
    </row>
    <row r="49" customFormat="false" ht="15" hidden="false" customHeight="true" outlineLevel="0" collapsed="false">
      <c r="A49" s="1" t="str">
        <f aca="false">RIGHT('상세 데이터'!A13,2)</f>
        <v>09</v>
      </c>
      <c r="B49" s="1" t="n">
        <f aca="false">'상세 데이터'!E13/10000</f>
        <v>77.15</v>
      </c>
    </row>
    <row r="50" customFormat="false" ht="15" hidden="false" customHeight="true" outlineLevel="0" collapsed="false">
      <c r="A50" s="1" t="str">
        <f aca="false">RIGHT('상세 데이터'!A14,2)</f>
        <v>10</v>
      </c>
      <c r="B50" s="1" t="n">
        <f aca="false">'상세 데이터'!E14/10000</f>
        <v>86.65</v>
      </c>
    </row>
    <row r="51" customFormat="false" ht="15" hidden="false" customHeight="true" outlineLevel="0" collapsed="false">
      <c r="A51" s="1" t="str">
        <f aca="false">RIGHT('상세 데이터'!A15,2)</f>
        <v>11</v>
      </c>
      <c r="B51" s="1" t="n">
        <f aca="false">'상세 데이터'!E15/10000</f>
        <v>89.75</v>
      </c>
    </row>
    <row r="52" customFormat="false" ht="15" hidden="false" customHeight="true" outlineLevel="0" collapsed="false">
      <c r="A52" s="1" t="str">
        <f aca="false">RIGHT('상세 데이터'!A16,2)</f>
        <v>12</v>
      </c>
      <c r="B52" s="1" t="n">
        <f aca="false">'상세 데이터'!E16/10000</f>
        <v>103.65</v>
      </c>
    </row>
    <row r="53" customFormat="false" ht="15" hidden="false" customHeight="true" outlineLevel="0" collapsed="false">
      <c r="A53" s="1" t="str">
        <f aca="false">RIGHT('상세 데이터'!A17,2)</f>
        <v>13</v>
      </c>
      <c r="B53" s="1" t="n">
        <f aca="false">'상세 데이터'!E17/10000</f>
        <v>140.45</v>
      </c>
    </row>
    <row r="54" customFormat="false" ht="15" hidden="false" customHeight="true" outlineLevel="0" collapsed="false">
      <c r="A54" s="1" t="str">
        <f aca="false">RIGHT('상세 데이터'!A18,2)</f>
        <v>14</v>
      </c>
      <c r="B54" s="1" t="n">
        <f aca="false">'상세 데이터'!E18/10000</f>
        <v>130.5</v>
      </c>
    </row>
    <row r="55" customFormat="false" ht="15" hidden="false" customHeight="true" outlineLevel="0" collapsed="false">
      <c r="A55" s="1" t="str">
        <f aca="false">RIGHT('상세 데이터'!A19,2)</f>
        <v>15</v>
      </c>
      <c r="B55" s="1" t="n">
        <f aca="false">'상세 데이터'!E19/10000</f>
        <v>83.35</v>
      </c>
    </row>
    <row r="56" customFormat="false" ht="15" hidden="false" customHeight="true" outlineLevel="0" collapsed="false">
      <c r="A56" s="1" t="str">
        <f aca="false">RIGHT('상세 데이터'!A20,2)</f>
        <v>16</v>
      </c>
      <c r="B56" s="1" t="n">
        <f aca="false">'상세 데이터'!E20/10000</f>
        <v>81.25</v>
      </c>
    </row>
    <row r="57" customFormat="false" ht="15" hidden="false" customHeight="true" outlineLevel="0" collapsed="false">
      <c r="A57" s="1" t="str">
        <f aca="false">RIGHT('상세 데이터'!A21,2)</f>
        <v>17</v>
      </c>
      <c r="B57" s="1" t="n">
        <f aca="false">'상세 데이터'!E21/10000</f>
        <v>91.4</v>
      </c>
    </row>
    <row r="58" customFormat="false" ht="15" hidden="false" customHeight="true" outlineLevel="0" collapsed="false">
      <c r="A58" s="1" t="str">
        <f aca="false">RIGHT('상세 데이터'!A22,2)</f>
        <v>18</v>
      </c>
      <c r="B58" s="1" t="n">
        <f aca="false">'상세 데이터'!E22/10000</f>
        <v>94.05</v>
      </c>
    </row>
    <row r="59" customFormat="false" ht="15" hidden="false" customHeight="true" outlineLevel="0" collapsed="false">
      <c r="A59" s="1" t="str">
        <f aca="false">RIGHT('상세 데이터'!A23,2)</f>
        <v>19</v>
      </c>
      <c r="B59" s="1" t="n">
        <f aca="false">'상세 데이터'!E23/10000</f>
        <v>109.4</v>
      </c>
    </row>
    <row r="60" customFormat="false" ht="15" hidden="false" customHeight="true" outlineLevel="0" collapsed="false">
      <c r="A60" s="1" t="str">
        <f aca="false">RIGHT('상세 데이터'!A24,2)</f>
        <v>20</v>
      </c>
      <c r="B60" s="1" t="n">
        <f aca="false">'상세 데이터'!E24/10000</f>
        <v>148.95</v>
      </c>
    </row>
    <row r="61" customFormat="false" ht="15" hidden="false" customHeight="true" outlineLevel="0" collapsed="false">
      <c r="A61" s="1" t="str">
        <f aca="false">RIGHT('상세 데이터'!A25,2)</f>
        <v>21</v>
      </c>
      <c r="B61" s="1" t="n">
        <f aca="false">'상세 데이터'!E25/10000</f>
        <v>136.9</v>
      </c>
    </row>
    <row r="62" customFormat="false" ht="15" hidden="false" customHeight="true" outlineLevel="0" collapsed="false">
      <c r="A62" s="1" t="str">
        <f aca="false">RIGHT('상세 데이터'!A26,2)</f>
        <v>22</v>
      </c>
      <c r="B62" s="1" t="n">
        <f aca="false">'상세 데이터'!E26/10000</f>
        <v>88.1</v>
      </c>
    </row>
    <row r="63" customFormat="false" ht="15" hidden="false" customHeight="true" outlineLevel="0" collapsed="false">
      <c r="A63" s="1" t="str">
        <f aca="false">RIGHT('상세 데이터'!A27,2)</f>
        <v>23</v>
      </c>
      <c r="B63" s="1" t="n">
        <f aca="false">'상세 데이터'!E27/10000</f>
        <v>85</v>
      </c>
    </row>
    <row r="64" customFormat="false" ht="15" hidden="false" customHeight="true" outlineLevel="0" collapsed="false">
      <c r="A64" s="1" t="str">
        <f aca="false">RIGHT('상세 데이터'!A28,2)</f>
        <v>24</v>
      </c>
      <c r="B64" s="1" t="n">
        <f aca="false">'상세 데이터'!E28/10000</f>
        <v>96.15</v>
      </c>
    </row>
    <row r="65" customFormat="false" ht="15" hidden="false" customHeight="true" outlineLevel="0" collapsed="false">
      <c r="A65" s="1" t="str">
        <f aca="false">RIGHT('상세 데이터'!A29,2)</f>
        <v>25</v>
      </c>
      <c r="B65" s="1" t="n">
        <f aca="false">'상세 데이터'!E29/10000</f>
        <v>98.8</v>
      </c>
    </row>
    <row r="66" customFormat="false" ht="15" hidden="false" customHeight="true" outlineLevel="0" collapsed="false">
      <c r="A66" s="1" t="str">
        <f aca="false">RIGHT('상세 데이터'!A30,2)</f>
        <v>26</v>
      </c>
      <c r="B66" s="1" t="n">
        <f aca="false">'상세 데이터'!E30/10000</f>
        <v>115.35</v>
      </c>
    </row>
    <row r="67" customFormat="false" ht="15" hidden="false" customHeight="true" outlineLevel="0" collapsed="false">
      <c r="A67" s="1" t="str">
        <f aca="false">RIGHT('상세 데이터'!A31,2)</f>
        <v>27</v>
      </c>
      <c r="B67" s="1" t="n">
        <f aca="false">'상세 데이터'!E31/10000</f>
        <v>155.8</v>
      </c>
    </row>
    <row r="68" customFormat="false" ht="15" hidden="false" customHeight="true" outlineLevel="0" collapsed="false">
      <c r="A68" s="1" t="str">
        <f aca="false">RIGHT('상세 데이터'!A32,2)</f>
        <v>28</v>
      </c>
      <c r="B68" s="1" t="n">
        <f aca="false">'상세 데이터'!E32/10000</f>
        <v>144.2</v>
      </c>
    </row>
    <row r="69" customFormat="false" ht="15" hidden="false" customHeight="true" outlineLevel="0" collapsed="false">
      <c r="A69" s="1" t="str">
        <f aca="false">RIGHT('상세 데이터'!A33,2)</f>
        <v>29</v>
      </c>
      <c r="B69" s="1" t="n">
        <f aca="false">'상세 데이터'!E33/10000</f>
        <v>92.4</v>
      </c>
    </row>
    <row r="70" customFormat="false" ht="15" hidden="false" customHeight="true" outlineLevel="0" collapsed="false">
      <c r="A70" s="1" t="str">
        <f aca="false">RIGHT('상세 데이터'!A34,2)</f>
        <v>30</v>
      </c>
      <c r="B70" s="1" t="n">
        <f aca="false">'상세 데이터'!E34/10000</f>
        <v>89.75</v>
      </c>
    </row>
  </sheetData>
  <mergeCells count="13">
    <mergeCell ref="A1:L1"/>
    <mergeCell ref="A2:L2"/>
    <mergeCell ref="A3:L3"/>
    <mergeCell ref="A5:D5"/>
    <mergeCell ref="E5:H5"/>
    <mergeCell ref="I5:L5"/>
    <mergeCell ref="A6:D7"/>
    <mergeCell ref="E6:H7"/>
    <mergeCell ref="I6:L7"/>
    <mergeCell ref="A9:L9"/>
    <mergeCell ref="A11:L11"/>
    <mergeCell ref="A31:L31"/>
    <mergeCell ref="A33:L33"/>
  </mergeCells>
  <printOptions headings="false" gridLines="false" gridLinesSet="true" horizontalCentered="true" verticalCentered="false"/>
  <pageMargins left="0.25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6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6.5" customHeight="false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11"/>
    <col collapsed="false" customWidth="true" hidden="false" outlineLevel="0" max="3" min="3" style="1" width="22"/>
  </cols>
  <sheetData>
    <row r="1" customFormat="false" ht="16.5" hidden="false" customHeight="false" outlineLevel="0" collapsed="false">
      <c r="A1" s="14" t="s">
        <v>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15"/>
      <c r="O1" s="15"/>
      <c r="P1" s="15"/>
      <c r="Q1" s="15"/>
      <c r="R1" s="15"/>
    </row>
    <row r="2" customFormat="false" ht="30.55" hidden="false" customHeight="true" outlineLevel="0" collapsed="false">
      <c r="A2" s="16" t="s">
        <v>14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5"/>
      <c r="N2" s="15"/>
      <c r="O2" s="15"/>
      <c r="P2" s="15"/>
      <c r="Q2" s="15"/>
      <c r="R2" s="15"/>
    </row>
    <row r="3" customFormat="false" ht="16.5" hidden="false" customHeight="true" outlineLevel="0" collapsed="false">
      <c r="A3" s="17" t="s">
        <v>15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5"/>
      <c r="N3" s="15"/>
      <c r="O3" s="15"/>
      <c r="P3" s="15"/>
      <c r="Q3" s="15"/>
      <c r="R3" s="15"/>
    </row>
    <row r="4" customFormat="false" ht="16.5" hidden="false" customHeight="fals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customFormat="false" ht="28.35" hidden="false" customHeight="true" outlineLevel="0" collapsed="false">
      <c r="A5" s="18" t="s">
        <v>16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customFormat="false" ht="16.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customFormat="false" ht="16.5" hidden="false" customHeight="false" outlineLevel="0" collapsed="false">
      <c r="A7" s="19" t="s">
        <v>17</v>
      </c>
      <c r="B7" s="19" t="s">
        <v>18</v>
      </c>
      <c r="C7" s="19" t="s">
        <v>19</v>
      </c>
      <c r="D7" s="15"/>
      <c r="E7" s="20" t="s">
        <v>20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customFormat="false" ht="21.6" hidden="false" customHeight="true" outlineLevel="0" collapsed="false">
      <c r="A8" s="21" t="s">
        <v>21</v>
      </c>
      <c r="B8" s="22" t="n">
        <f aca="false">SUM('메뉴 분석'!E5:E7)</f>
        <v>30905000</v>
      </c>
      <c r="C8" s="21" t="s">
        <v>22</v>
      </c>
      <c r="D8" s="15"/>
      <c r="E8" s="23" t="s">
        <v>23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 customFormat="false" ht="16.5" hidden="false" customHeight="false" outlineLevel="0" collapsed="false">
      <c r="A9" s="21" t="s">
        <v>24</v>
      </c>
      <c r="B9" s="22" t="n">
        <f aca="false">SUM('메뉴 분석'!F5:F7)</f>
        <v>9042100</v>
      </c>
      <c r="C9" s="21" t="s">
        <v>25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customFormat="false" ht="16.5" hidden="false" customHeight="true" outlineLevel="0" collapsed="false">
      <c r="A10" s="21" t="s">
        <v>26</v>
      </c>
      <c r="B10" s="22" t="n">
        <f aca="false">SUM('메뉴 분석'!B11:B13)</f>
        <v>9900000</v>
      </c>
      <c r="C10" s="21" t="s">
        <v>27</v>
      </c>
      <c r="D10" s="15"/>
      <c r="E10" s="24" t="s">
        <v>28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customFormat="false" ht="16.5" hidden="false" customHeight="true" outlineLevel="0" collapsed="false">
      <c r="A11" s="21" t="s">
        <v>29</v>
      </c>
      <c r="B11" s="25" t="n">
        <f aca="false">SUM(B9:B10)</f>
        <v>18942100</v>
      </c>
      <c r="C11" s="21" t="s">
        <v>30</v>
      </c>
      <c r="D11" s="15"/>
      <c r="E11" s="26" t="s">
        <v>31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customFormat="false" ht="16.5" hidden="false" customHeight="true" outlineLevel="0" collapsed="false">
      <c r="A12" s="21" t="s">
        <v>32</v>
      </c>
      <c r="B12" s="25" t="n">
        <f aca="false">B8-B11</f>
        <v>11962900</v>
      </c>
      <c r="C12" s="21" t="s">
        <v>33</v>
      </c>
      <c r="D12" s="15"/>
      <c r="E12" s="24" t="s">
        <v>34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</row>
    <row r="13" customFormat="false" ht="16.5" hidden="false" customHeight="false" outlineLevel="0" collapsed="false">
      <c r="A13" s="21" t="s">
        <v>5</v>
      </c>
      <c r="B13" s="27" t="n">
        <f aca="false">IFERROR(B12/B8,0)</f>
        <v>0.387086232001294</v>
      </c>
      <c r="C13" s="21" t="s">
        <v>35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customFormat="false" ht="16.5" hidden="false" customHeight="false" outlineLevel="0" collapsed="false">
      <c r="A14" s="21" t="s">
        <v>36</v>
      </c>
      <c r="B14" s="22" t="n">
        <f aca="false">SUM('메뉴 분석'!D5:D7)</f>
        <v>6000</v>
      </c>
      <c r="C14" s="21" t="s">
        <v>37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customFormat="false" ht="16.5" hidden="false" customHeight="false" outlineLevel="0" collapsed="false">
      <c r="A15" s="28" t="s">
        <v>38</v>
      </c>
      <c r="B15" s="29" t="n">
        <f aca="false">IFERROR(B8/COUNTA('상세 데이터'!A5:A34),0)</f>
        <v>1030166.66666667</v>
      </c>
      <c r="C15" s="28" t="s">
        <v>39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customFormat="false" ht="16.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</sheetData>
  <mergeCells count="9">
    <mergeCell ref="A1:L1"/>
    <mergeCell ref="A2:L2"/>
    <mergeCell ref="A3:L3"/>
    <mergeCell ref="A5:L5"/>
    <mergeCell ref="E7:R7"/>
    <mergeCell ref="E8:R8"/>
    <mergeCell ref="E10:R10"/>
    <mergeCell ref="E11:R11"/>
    <mergeCell ref="E12:R12"/>
  </mergeCells>
  <printOptions headings="false" gridLines="false" gridLinesSet="true" horizontalCentered="true" verticalCentered="false"/>
  <pageMargins left="0.25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9"/>
  </cols>
  <sheetData>
    <row r="1" customFormat="false" ht="28.35" hidden="false" customHeight="true" outlineLevel="0" collapsed="false">
      <c r="A1" s="30" t="s">
        <v>40</v>
      </c>
      <c r="B1" s="30"/>
      <c r="C1" s="30"/>
      <c r="D1" s="30"/>
      <c r="E1" s="30"/>
    </row>
    <row r="2" customFormat="false" ht="15" hidden="false" customHeight="true" outlineLevel="0" collapsed="false">
      <c r="A2" s="31" t="s">
        <v>41</v>
      </c>
      <c r="B2" s="31"/>
      <c r="C2" s="31"/>
      <c r="D2" s="31"/>
      <c r="E2" s="31"/>
    </row>
    <row r="3" customFormat="false" ht="15" hidden="false" customHeight="false" outlineLevel="0" collapsed="false">
      <c r="A3" s="5"/>
      <c r="B3" s="5"/>
      <c r="C3" s="5"/>
      <c r="D3" s="5"/>
      <c r="E3" s="5"/>
    </row>
    <row r="4" customFormat="false" ht="15" hidden="false" customHeight="false" outlineLevel="0" collapsed="false">
      <c r="A4" s="32" t="s">
        <v>42</v>
      </c>
      <c r="B4" s="32" t="s">
        <v>43</v>
      </c>
      <c r="C4" s="32" t="s">
        <v>44</v>
      </c>
      <c r="D4" s="32" t="s">
        <v>45</v>
      </c>
      <c r="E4" s="32" t="s">
        <v>21</v>
      </c>
    </row>
    <row r="5" customFormat="false" ht="15" hidden="false" customHeight="false" outlineLevel="0" collapsed="false">
      <c r="A5" s="33" t="s">
        <v>46</v>
      </c>
      <c r="B5" s="34" t="n">
        <v>82</v>
      </c>
      <c r="C5" s="34" t="n">
        <v>48</v>
      </c>
      <c r="D5" s="34" t="n">
        <v>22</v>
      </c>
      <c r="E5" s="35" t="n">
        <f aca="false">B5*AmericanoPrice+C5*LattePrice+D5*CakePrice</f>
        <v>776000</v>
      </c>
    </row>
    <row r="6" customFormat="false" ht="15" hidden="false" customHeight="false" outlineLevel="0" collapsed="false">
      <c r="A6" s="33" t="s">
        <v>47</v>
      </c>
      <c r="B6" s="34" t="n">
        <v>78</v>
      </c>
      <c r="C6" s="34" t="n">
        <v>46</v>
      </c>
      <c r="D6" s="34" t="n">
        <v>20</v>
      </c>
      <c r="E6" s="35" t="n">
        <f aca="false">B6*AmericanoPrice+C6*LattePrice+D6*CakePrice</f>
        <v>734000</v>
      </c>
    </row>
    <row r="7" customFormat="false" ht="15" hidden="false" customHeight="false" outlineLevel="0" collapsed="false">
      <c r="A7" s="33" t="s">
        <v>48</v>
      </c>
      <c r="B7" s="34" t="n">
        <v>85</v>
      </c>
      <c r="C7" s="34" t="n">
        <v>51</v>
      </c>
      <c r="D7" s="34" t="n">
        <v>24</v>
      </c>
      <c r="E7" s="35" t="n">
        <f aca="false">B7*AmericanoPrice+C7*LattePrice+D7*CakePrice</f>
        <v>819000</v>
      </c>
    </row>
    <row r="8" customFormat="false" ht="15" hidden="false" customHeight="false" outlineLevel="0" collapsed="false">
      <c r="A8" s="33" t="s">
        <v>49</v>
      </c>
      <c r="B8" s="34" t="n">
        <v>88</v>
      </c>
      <c r="C8" s="34" t="n">
        <v>53</v>
      </c>
      <c r="D8" s="34" t="n">
        <v>25</v>
      </c>
      <c r="E8" s="35" t="n">
        <f aca="false">B8*AmericanoPrice+C8*LattePrice+D8*CakePrice</f>
        <v>850000</v>
      </c>
    </row>
    <row r="9" customFormat="false" ht="15" hidden="false" customHeight="false" outlineLevel="0" collapsed="false">
      <c r="A9" s="33" t="s">
        <v>50</v>
      </c>
      <c r="B9" s="34" t="n">
        <v>96</v>
      </c>
      <c r="C9" s="34" t="n">
        <v>60</v>
      </c>
      <c r="D9" s="34" t="n">
        <v>31</v>
      </c>
      <c r="E9" s="35" t="n">
        <f aca="false">B9*AmericanoPrice+C9*LattePrice+D9*CakePrice</f>
        <v>963500</v>
      </c>
    </row>
    <row r="10" customFormat="false" ht="15" hidden="false" customHeight="false" outlineLevel="0" collapsed="false">
      <c r="A10" s="33" t="s">
        <v>51</v>
      </c>
      <c r="B10" s="34" t="n">
        <v>128</v>
      </c>
      <c r="C10" s="34" t="n">
        <v>82</v>
      </c>
      <c r="D10" s="34" t="n">
        <v>46</v>
      </c>
      <c r="E10" s="35" t="n">
        <f aca="false">B10*AmericanoPrice+C10*LattePrice+D10*CakePrice</f>
        <v>1326000</v>
      </c>
    </row>
    <row r="11" customFormat="false" ht="15" hidden="false" customHeight="false" outlineLevel="0" collapsed="false">
      <c r="A11" s="33" t="s">
        <v>52</v>
      </c>
      <c r="B11" s="34" t="n">
        <v>119</v>
      </c>
      <c r="C11" s="34" t="n">
        <v>78</v>
      </c>
      <c r="D11" s="34" t="n">
        <v>43</v>
      </c>
      <c r="E11" s="35" t="n">
        <f aca="false">B11*AmericanoPrice+C11*LattePrice+D11*CakePrice</f>
        <v>1244000</v>
      </c>
    </row>
    <row r="12" customFormat="false" ht="15" hidden="false" customHeight="false" outlineLevel="0" collapsed="false">
      <c r="A12" s="33" t="s">
        <v>53</v>
      </c>
      <c r="B12" s="34" t="n">
        <v>84</v>
      </c>
      <c r="C12" s="34" t="n">
        <v>50</v>
      </c>
      <c r="D12" s="34" t="n">
        <v>23</v>
      </c>
      <c r="E12" s="35" t="n">
        <f aca="false">B12*AmericanoPrice+C12*LattePrice+D12*CakePrice</f>
        <v>802500</v>
      </c>
    </row>
    <row r="13" customFormat="false" ht="15" hidden="false" customHeight="false" outlineLevel="0" collapsed="false">
      <c r="A13" s="33" t="s">
        <v>54</v>
      </c>
      <c r="B13" s="34" t="n">
        <v>81</v>
      </c>
      <c r="C13" s="34" t="n">
        <v>48</v>
      </c>
      <c r="D13" s="34" t="n">
        <v>22</v>
      </c>
      <c r="E13" s="35" t="n">
        <f aca="false">B13*AmericanoPrice+C13*LattePrice+D13*CakePrice</f>
        <v>771500</v>
      </c>
    </row>
    <row r="14" customFormat="false" ht="15" hidden="false" customHeight="false" outlineLevel="0" collapsed="false">
      <c r="A14" s="33" t="s">
        <v>55</v>
      </c>
      <c r="B14" s="34" t="n">
        <v>89</v>
      </c>
      <c r="C14" s="34" t="n">
        <v>54</v>
      </c>
      <c r="D14" s="34" t="n">
        <v>26</v>
      </c>
      <c r="E14" s="35" t="n">
        <f aca="false">B14*AmericanoPrice+C14*LattePrice+D14*CakePrice</f>
        <v>866500</v>
      </c>
    </row>
    <row r="15" customFormat="false" ht="15" hidden="false" customHeight="false" outlineLevel="0" collapsed="false">
      <c r="A15" s="33" t="s">
        <v>56</v>
      </c>
      <c r="B15" s="34" t="n">
        <v>92</v>
      </c>
      <c r="C15" s="34" t="n">
        <v>56</v>
      </c>
      <c r="D15" s="34" t="n">
        <v>27</v>
      </c>
      <c r="E15" s="35" t="n">
        <f aca="false">B15*AmericanoPrice+C15*LattePrice+D15*CakePrice</f>
        <v>897500</v>
      </c>
    </row>
    <row r="16" customFormat="false" ht="15" hidden="false" customHeight="false" outlineLevel="0" collapsed="false">
      <c r="A16" s="33" t="s">
        <v>57</v>
      </c>
      <c r="B16" s="34" t="n">
        <v>103</v>
      </c>
      <c r="C16" s="34" t="n">
        <v>64</v>
      </c>
      <c r="D16" s="34" t="n">
        <v>34</v>
      </c>
      <c r="E16" s="35" t="n">
        <f aca="false">B16*AmericanoPrice+C16*LattePrice+D16*CakePrice</f>
        <v>1036500</v>
      </c>
    </row>
    <row r="17" customFormat="false" ht="15" hidden="false" customHeight="false" outlineLevel="0" collapsed="false">
      <c r="A17" s="33" t="s">
        <v>58</v>
      </c>
      <c r="B17" s="34" t="n">
        <v>135</v>
      </c>
      <c r="C17" s="34" t="n">
        <v>87</v>
      </c>
      <c r="D17" s="34" t="n">
        <v>49</v>
      </c>
      <c r="E17" s="35" t="n">
        <f aca="false">B17*AmericanoPrice+C17*LattePrice+D17*CakePrice</f>
        <v>1404500</v>
      </c>
    </row>
    <row r="18" customFormat="false" ht="15" hidden="false" customHeight="false" outlineLevel="0" collapsed="false">
      <c r="A18" s="33" t="s">
        <v>59</v>
      </c>
      <c r="B18" s="34" t="n">
        <v>126</v>
      </c>
      <c r="C18" s="34" t="n">
        <v>81</v>
      </c>
      <c r="D18" s="34" t="n">
        <v>45</v>
      </c>
      <c r="E18" s="35" t="n">
        <f aca="false">B18*AmericanoPrice+C18*LattePrice+D18*CakePrice</f>
        <v>1305000</v>
      </c>
    </row>
    <row r="19" customFormat="false" ht="15" hidden="false" customHeight="false" outlineLevel="0" collapsed="false">
      <c r="A19" s="33" t="s">
        <v>60</v>
      </c>
      <c r="B19" s="34" t="n">
        <v>87</v>
      </c>
      <c r="C19" s="34" t="n">
        <v>52</v>
      </c>
      <c r="D19" s="34" t="n">
        <v>24</v>
      </c>
      <c r="E19" s="35" t="n">
        <f aca="false">B19*AmericanoPrice+C19*LattePrice+D19*CakePrice</f>
        <v>833500</v>
      </c>
    </row>
    <row r="20" customFormat="false" ht="15" hidden="false" customHeight="false" outlineLevel="0" collapsed="false">
      <c r="A20" s="33" t="s">
        <v>61</v>
      </c>
      <c r="B20" s="34" t="n">
        <v>85</v>
      </c>
      <c r="C20" s="34" t="n">
        <v>51</v>
      </c>
      <c r="D20" s="34" t="n">
        <v>23</v>
      </c>
      <c r="E20" s="35" t="n">
        <f aca="false">B20*AmericanoPrice+C20*LattePrice+D20*CakePrice</f>
        <v>812500</v>
      </c>
    </row>
    <row r="21" customFormat="false" ht="15" hidden="false" customHeight="false" outlineLevel="0" collapsed="false">
      <c r="A21" s="33" t="s">
        <v>62</v>
      </c>
      <c r="B21" s="34" t="n">
        <v>93</v>
      </c>
      <c r="C21" s="34" t="n">
        <v>57</v>
      </c>
      <c r="D21" s="34" t="n">
        <v>28</v>
      </c>
      <c r="E21" s="35" t="n">
        <f aca="false">B21*AmericanoPrice+C21*LattePrice+D21*CakePrice</f>
        <v>914000</v>
      </c>
    </row>
    <row r="22" customFormat="false" ht="15" hidden="false" customHeight="false" outlineLevel="0" collapsed="false">
      <c r="A22" s="33" t="s">
        <v>63</v>
      </c>
      <c r="B22" s="34" t="n">
        <v>95</v>
      </c>
      <c r="C22" s="34" t="n">
        <v>59</v>
      </c>
      <c r="D22" s="34" t="n">
        <v>29</v>
      </c>
      <c r="E22" s="35" t="n">
        <f aca="false">B22*AmericanoPrice+C22*LattePrice+D22*CakePrice</f>
        <v>940500</v>
      </c>
    </row>
    <row r="23" customFormat="false" ht="15" hidden="false" customHeight="false" outlineLevel="0" collapsed="false">
      <c r="A23" s="33" t="s">
        <v>64</v>
      </c>
      <c r="B23" s="34" t="n">
        <v>108</v>
      </c>
      <c r="C23" s="34" t="n">
        <v>68</v>
      </c>
      <c r="D23" s="34" t="n">
        <v>36</v>
      </c>
      <c r="E23" s="35" t="n">
        <f aca="false">B23*AmericanoPrice+C23*LattePrice+D23*CakePrice</f>
        <v>1094000</v>
      </c>
    </row>
    <row r="24" customFormat="false" ht="15" hidden="false" customHeight="false" outlineLevel="0" collapsed="false">
      <c r="A24" s="33" t="s">
        <v>65</v>
      </c>
      <c r="B24" s="34" t="n">
        <v>142</v>
      </c>
      <c r="C24" s="34" t="n">
        <v>92</v>
      </c>
      <c r="D24" s="34" t="n">
        <v>53</v>
      </c>
      <c r="E24" s="35" t="n">
        <f aca="false">B24*AmericanoPrice+C24*LattePrice+D24*CakePrice</f>
        <v>1489500</v>
      </c>
    </row>
    <row r="25" customFormat="false" ht="15" hidden="false" customHeight="false" outlineLevel="0" collapsed="false">
      <c r="A25" s="33" t="s">
        <v>66</v>
      </c>
      <c r="B25" s="34" t="n">
        <v>131</v>
      </c>
      <c r="C25" s="34" t="n">
        <v>85</v>
      </c>
      <c r="D25" s="34" t="n">
        <v>48</v>
      </c>
      <c r="E25" s="35" t="n">
        <f aca="false">B25*AmericanoPrice+C25*LattePrice+D25*CakePrice</f>
        <v>1369000</v>
      </c>
    </row>
    <row r="26" customFormat="false" ht="15" hidden="false" customHeight="false" outlineLevel="0" collapsed="false">
      <c r="A26" s="33" t="s">
        <v>67</v>
      </c>
      <c r="B26" s="34" t="n">
        <v>91</v>
      </c>
      <c r="C26" s="34" t="n">
        <v>55</v>
      </c>
      <c r="D26" s="34" t="n">
        <v>26</v>
      </c>
      <c r="E26" s="35" t="n">
        <f aca="false">B26*AmericanoPrice+C26*LattePrice+D26*CakePrice</f>
        <v>881000</v>
      </c>
    </row>
    <row r="27" customFormat="false" ht="15" hidden="false" customHeight="false" outlineLevel="0" collapsed="false">
      <c r="A27" s="33" t="s">
        <v>68</v>
      </c>
      <c r="B27" s="34" t="n">
        <v>88</v>
      </c>
      <c r="C27" s="34" t="n">
        <v>53</v>
      </c>
      <c r="D27" s="34" t="n">
        <v>25</v>
      </c>
      <c r="E27" s="35" t="n">
        <f aca="false">B27*AmericanoPrice+C27*LattePrice+D27*CakePrice</f>
        <v>850000</v>
      </c>
    </row>
    <row r="28" customFormat="false" ht="15" hidden="false" customHeight="false" outlineLevel="0" collapsed="false">
      <c r="A28" s="33" t="s">
        <v>69</v>
      </c>
      <c r="B28" s="34" t="n">
        <v>97</v>
      </c>
      <c r="C28" s="34" t="n">
        <v>60</v>
      </c>
      <c r="D28" s="34" t="n">
        <v>30</v>
      </c>
      <c r="E28" s="35" t="n">
        <f aca="false">B28*AmericanoPrice+C28*LattePrice+D28*CakePrice</f>
        <v>961500</v>
      </c>
    </row>
    <row r="29" customFormat="false" ht="15" hidden="false" customHeight="false" outlineLevel="0" collapsed="false">
      <c r="A29" s="33" t="s">
        <v>70</v>
      </c>
      <c r="B29" s="34" t="n">
        <v>99</v>
      </c>
      <c r="C29" s="34" t="n">
        <v>62</v>
      </c>
      <c r="D29" s="34" t="n">
        <v>31</v>
      </c>
      <c r="E29" s="35" t="n">
        <f aca="false">B29*AmericanoPrice+C29*LattePrice+D29*CakePrice</f>
        <v>988000</v>
      </c>
    </row>
    <row r="30" customFormat="false" ht="15" hidden="false" customHeight="false" outlineLevel="0" collapsed="false">
      <c r="A30" s="33" t="s">
        <v>71</v>
      </c>
      <c r="B30" s="34" t="n">
        <v>112</v>
      </c>
      <c r="C30" s="34" t="n">
        <v>72</v>
      </c>
      <c r="D30" s="34" t="n">
        <v>39</v>
      </c>
      <c r="E30" s="35" t="n">
        <f aca="false">B30*AmericanoPrice+C30*LattePrice+D30*CakePrice</f>
        <v>1153500</v>
      </c>
    </row>
    <row r="31" customFormat="false" ht="15" hidden="false" customHeight="false" outlineLevel="0" collapsed="false">
      <c r="A31" s="33" t="s">
        <v>72</v>
      </c>
      <c r="B31" s="34" t="n">
        <v>148</v>
      </c>
      <c r="C31" s="34" t="n">
        <v>96</v>
      </c>
      <c r="D31" s="34" t="n">
        <v>56</v>
      </c>
      <c r="E31" s="35" t="n">
        <f aca="false">B31*AmericanoPrice+C31*LattePrice+D31*CakePrice</f>
        <v>1558000</v>
      </c>
    </row>
    <row r="32" customFormat="false" ht="15" hidden="false" customHeight="false" outlineLevel="0" collapsed="false">
      <c r="A32" s="33" t="s">
        <v>73</v>
      </c>
      <c r="B32" s="34" t="n">
        <v>138</v>
      </c>
      <c r="C32" s="34" t="n">
        <v>89</v>
      </c>
      <c r="D32" s="34" t="n">
        <v>51</v>
      </c>
      <c r="E32" s="35" t="n">
        <f aca="false">B32*AmericanoPrice+C32*LattePrice+D32*CakePrice</f>
        <v>1442000</v>
      </c>
    </row>
    <row r="33" customFormat="false" ht="15" hidden="false" customHeight="false" outlineLevel="0" collapsed="false">
      <c r="A33" s="33" t="s">
        <v>74</v>
      </c>
      <c r="B33" s="34" t="n">
        <v>94</v>
      </c>
      <c r="C33" s="34" t="n">
        <v>58</v>
      </c>
      <c r="D33" s="34" t="n">
        <v>28</v>
      </c>
      <c r="E33" s="35" t="n">
        <f aca="false">B33*AmericanoPrice+C33*LattePrice+D33*CakePrice</f>
        <v>924000</v>
      </c>
    </row>
    <row r="34" customFormat="false" ht="15" hidden="false" customHeight="false" outlineLevel="0" collapsed="false">
      <c r="A34" s="33" t="s">
        <v>75</v>
      </c>
      <c r="B34" s="34" t="n">
        <v>92</v>
      </c>
      <c r="C34" s="34" t="n">
        <v>56</v>
      </c>
      <c r="D34" s="34" t="n">
        <v>27</v>
      </c>
      <c r="E34" s="35" t="n">
        <f aca="false">B34*AmericanoPrice+C34*LattePrice+D34*CakePrice</f>
        <v>897500</v>
      </c>
    </row>
  </sheetData>
  <mergeCells count="2">
    <mergeCell ref="A1:E1"/>
    <mergeCell ref="A2:E2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5" customHeight="false" zeroHeight="false" outlineLevelRow="0" outlineLevelCol="0"/>
  <cols>
    <col collapsed="false" customWidth="true" hidden="false" outlineLevel="0" max="3" min="1" style="1" width="13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9"/>
  </cols>
  <sheetData>
    <row r="1" customFormat="false" ht="28.35" hidden="false" customHeight="true" outlineLevel="0" collapsed="false">
      <c r="A1" s="30" t="s">
        <v>76</v>
      </c>
      <c r="B1" s="30"/>
      <c r="C1" s="30"/>
      <c r="D1" s="30"/>
      <c r="E1" s="30"/>
      <c r="F1" s="30"/>
      <c r="G1" s="30"/>
    </row>
    <row r="2" customFormat="false" ht="15" hidden="false" customHeight="true" outlineLevel="0" collapsed="false">
      <c r="A2" s="31" t="s">
        <v>77</v>
      </c>
      <c r="B2" s="31"/>
      <c r="C2" s="31"/>
      <c r="D2" s="31"/>
      <c r="E2" s="31"/>
      <c r="F2" s="31"/>
      <c r="G2" s="31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32" t="s">
        <v>11</v>
      </c>
      <c r="B4" s="32" t="s">
        <v>78</v>
      </c>
      <c r="C4" s="32" t="s">
        <v>79</v>
      </c>
      <c r="D4" s="32" t="s">
        <v>80</v>
      </c>
      <c r="E4" s="32" t="s">
        <v>21</v>
      </c>
      <c r="F4" s="32" t="s">
        <v>24</v>
      </c>
      <c r="G4" s="32" t="s">
        <v>12</v>
      </c>
    </row>
    <row r="5" customFormat="false" ht="15" hidden="false" customHeight="false" outlineLevel="0" collapsed="false">
      <c r="A5" s="5" t="s">
        <v>43</v>
      </c>
      <c r="B5" s="34" t="n">
        <v>4500</v>
      </c>
      <c r="C5" s="34" t="n">
        <v>1100</v>
      </c>
      <c r="D5" s="35" t="n">
        <f aca="false">SUM('상세 데이터'!B5:B34)</f>
        <v>3086</v>
      </c>
      <c r="E5" s="35" t="n">
        <f aca="false">B5*D5</f>
        <v>13887000</v>
      </c>
      <c r="F5" s="35" t="n">
        <f aca="false">C5*D5</f>
        <v>3394600</v>
      </c>
      <c r="G5" s="36" t="n">
        <f aca="false">IFERROR(E5/SUM($E$5:$E$7),0)</f>
        <v>0.449344766219058</v>
      </c>
    </row>
    <row r="6" customFormat="false" ht="15" hidden="false" customHeight="false" outlineLevel="0" collapsed="false">
      <c r="A6" s="5" t="s">
        <v>44</v>
      </c>
      <c r="B6" s="34" t="n">
        <v>5500</v>
      </c>
      <c r="C6" s="34" t="n">
        <v>1700</v>
      </c>
      <c r="D6" s="35" t="n">
        <f aca="false">SUM('상세 데이터'!C5:C34)</f>
        <v>1923</v>
      </c>
      <c r="E6" s="35" t="n">
        <f aca="false">B6*D6</f>
        <v>10576500</v>
      </c>
      <c r="F6" s="35" t="n">
        <f aca="false">C6*D6</f>
        <v>3269100</v>
      </c>
      <c r="G6" s="36" t="n">
        <f aca="false">IFERROR(E6/SUM($E$5:$E$7),0)</f>
        <v>0.342226176994014</v>
      </c>
    </row>
    <row r="7" customFormat="false" ht="15" hidden="false" customHeight="false" outlineLevel="0" collapsed="false">
      <c r="A7" s="5" t="s">
        <v>45</v>
      </c>
      <c r="B7" s="34" t="n">
        <v>6500</v>
      </c>
      <c r="C7" s="34" t="n">
        <v>2400</v>
      </c>
      <c r="D7" s="35" t="n">
        <f aca="false">SUM('상세 데이터'!D5:D34)</f>
        <v>991</v>
      </c>
      <c r="E7" s="35" t="n">
        <f aca="false">B7*D7</f>
        <v>6441500</v>
      </c>
      <c r="F7" s="35" t="n">
        <f aca="false">C7*D7</f>
        <v>2378400</v>
      </c>
      <c r="G7" s="36" t="n">
        <f aca="false">IFERROR(E7/SUM($E$5:$E$7),0)</f>
        <v>0.208429056786928</v>
      </c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</row>
    <row r="10" customFormat="false" ht="16.4" hidden="false" customHeight="false" outlineLevel="0" collapsed="false">
      <c r="A10" s="5" t="s">
        <v>81</v>
      </c>
      <c r="B10" s="5" t="s">
        <v>82</v>
      </c>
      <c r="C10" s="5"/>
      <c r="D10" s="5"/>
      <c r="E10" s="5"/>
      <c r="F10" s="5"/>
      <c r="G10" s="5"/>
    </row>
    <row r="11" customFormat="false" ht="15" hidden="false" customHeight="false" outlineLevel="0" collapsed="false">
      <c r="A11" s="5" t="s">
        <v>83</v>
      </c>
      <c r="B11" s="34" t="n">
        <v>6800000</v>
      </c>
      <c r="C11" s="5"/>
      <c r="D11" s="5"/>
      <c r="E11" s="5"/>
      <c r="F11" s="5"/>
      <c r="G11" s="5"/>
    </row>
    <row r="12" customFormat="false" ht="15" hidden="false" customHeight="false" outlineLevel="0" collapsed="false">
      <c r="A12" s="5" t="s">
        <v>84</v>
      </c>
      <c r="B12" s="34" t="n">
        <v>2200000</v>
      </c>
      <c r="C12" s="5"/>
      <c r="D12" s="5"/>
      <c r="E12" s="5"/>
      <c r="F12" s="5"/>
      <c r="G12" s="5"/>
    </row>
    <row r="13" customFormat="false" ht="15" hidden="false" customHeight="false" outlineLevel="0" collapsed="false">
      <c r="A13" s="5" t="s">
        <v>85</v>
      </c>
      <c r="B13" s="34" t="n">
        <v>900000</v>
      </c>
      <c r="C13" s="5"/>
      <c r="D13" s="5"/>
      <c r="E13" s="5"/>
      <c r="F13" s="5"/>
      <c r="G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</row>
  </sheetData>
  <mergeCells count="2">
    <mergeCell ref="A1:G1"/>
    <mergeCell ref="A2:G2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1"/>
  </cols>
  <sheetData>
    <row r="1" customFormat="false" ht="15" hidden="false" customHeight="false" outlineLevel="0" collapsed="false">
      <c r="A1" s="37" t="s">
        <v>86</v>
      </c>
      <c r="B1" s="37" t="s">
        <v>87</v>
      </c>
    </row>
    <row r="2" customFormat="false" ht="15" hidden="false" customHeight="false" outlineLevel="0" collapsed="false">
      <c r="A2" s="5" t="s">
        <v>88</v>
      </c>
      <c r="B2" s="5" t="b">
        <f aca="false">AND(B3:B6)</f>
        <v>1</v>
      </c>
    </row>
    <row r="3" customFormat="false" ht="16.4" hidden="false" customHeight="false" outlineLevel="0" collapsed="false">
      <c r="A3" s="5" t="s">
        <v>89</v>
      </c>
      <c r="B3" s="5" t="b">
        <f aca="false">SUM('상세 데이터'!E5:E34)=SUM('메뉴 분석'!E5:E7)</f>
        <v>1</v>
      </c>
    </row>
    <row r="4" customFormat="false" ht="15" hidden="false" customHeight="false" outlineLevel="0" collapsed="false">
      <c r="A4" s="5" t="s">
        <v>90</v>
      </c>
      <c r="B4" s="5" t="b">
        <f aca="false">요약!B8-요약!B9-요약!B10=요약!B12</f>
        <v>1</v>
      </c>
    </row>
    <row r="5" customFormat="false" ht="15" hidden="false" customHeight="false" outlineLevel="0" collapsed="false">
      <c r="A5" s="5" t="s">
        <v>91</v>
      </c>
      <c r="B5" s="5" t="b">
        <f aca="false">ROUND(SUM('메뉴 분석'!G5:G7),10)=1</f>
        <v>1</v>
      </c>
    </row>
    <row r="6" customFormat="false" ht="15" hidden="false" customHeight="false" outlineLevel="0" collapsed="false">
      <c r="A6" s="5" t="s">
        <v>92</v>
      </c>
      <c r="B6" s="5" t="b">
        <f aca="false">SUM('상세 데이터'!B5:D34)=요약!B14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2026-09-07T16:29:20Z</dcterms:created>
  <dc:creator>재영 박</dc:creator>
  <dc:description/>
  <dc:language>ko-KR</dc:language>
  <cp:lastModifiedBy>재영 박</cp:lastModifiedBy>
  <dcterms:modified xsi:type="dcterms:W3CDTF">2026-09-07T16:29:21Z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