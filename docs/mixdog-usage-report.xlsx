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mixdog\docs\"/>
    </mc:Choice>
  </mc:AlternateContent>
  <xr:revisionPtr revIDLastSave="0" documentId="13_ncr:1_{2B2B81B3-A0D9-4417-96A0-73B837D34F29}" xr6:coauthVersionLast="47" xr6:coauthVersionMax="47" xr10:uidLastSave="{00000000-0000-0000-0000-000000000000}"/>
  <bookViews>
    <workbookView xWindow="1515" yWindow="1515" windowWidth="27195" windowHeight="14685" xr2:uid="{00000000-000D-0000-FFFF-FFFF00000000}"/>
  </bookViews>
  <sheets>
    <sheet name="요약" sheetId="1" r:id="rId1"/>
    <sheet name="TB21" sheetId="2" r:id="rId2"/>
    <sheet name="시작명령" sheetId="3" r:id="rId3"/>
    <sheet name="제공자" sheetId="4" r:id="rId4"/>
  </sheets>
  <externalReferences>
    <externalReference r:id="rId5"/>
  </externalReferences>
  <definedNames>
    <definedName name="Excel_BuiltIn_Print_Area" localSheetId="1">[1]벤치마크!$A$1:$D$27</definedName>
    <definedName name="_xlnm.Print_Area" localSheetId="1">'TB21'!$A$1:$D$27</definedName>
    <definedName name="_xlnm.Print_Area" localSheetId="2">시작명령!$A$1:$B$15</definedName>
    <definedName name="_xlnm.Print_Area" localSheetId="0">요약!$A$1:$E$42</definedName>
    <definedName name="_xlnm.Print_Area" localSheetId="3">제공자!$A$1:$B$14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2" i="2" l="1"/>
  <c r="B15" i="1" s="1"/>
  <c r="C21" i="2"/>
  <c r="B21" i="2"/>
  <c r="D20" i="2"/>
  <c r="D19" i="2"/>
  <c r="C27" i="2" s="1"/>
  <c r="D18" i="2"/>
  <c r="C18" i="1" s="1"/>
  <c r="D14" i="2"/>
  <c r="C13" i="2"/>
  <c r="B13" i="2"/>
  <c r="B12" i="1" s="1"/>
  <c r="D12" i="2"/>
  <c r="D11" i="2"/>
  <c r="B27" i="2" s="1"/>
  <c r="D10" i="2"/>
  <c r="B18" i="1" s="1"/>
  <c r="D21" i="2" l="1"/>
  <c r="B19" i="1"/>
  <c r="D13" i="2"/>
  <c r="B11" i="1"/>
  <c r="B14" i="1"/>
  <c r="B26" i="2"/>
  <c r="C26" i="2"/>
  <c r="B10" i="1"/>
  <c r="B13" i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Mixdog</author>
  </authors>
  <commentList>
    <comment ref="B5" authorId="0" shapeId="0" xr:uid="{00000000-0006-0000-0100-000001000000}">
      <text>
        <r>
          <rPr>
            <sz val="10"/>
            <rFont val="맑은 고딕"/>
            <family val="2"/>
          </rPr>
          <t>Source: README.md Benchmarks, GPT-5.6 Sol xhigh vs Codex CLI, k=5 (445 trials)</t>
        </r>
      </text>
    </comment>
    <comment ref="B6" authorId="0" shapeId="0" xr:uid="{00000000-0006-0000-0100-000002000000}">
      <text>
        <r>
          <rPr>
            <sz val="10"/>
            <rFont val="맑은 고딕"/>
            <family val="2"/>
          </rPr>
          <t>Source: README.md Benchmarks, Claude Opus 5 vs Claude Code, k=1 (89 tasks)</t>
        </r>
      </text>
    </comment>
    <comment ref="B10" authorId="0" shapeId="0" xr:uid="{00000000-0006-0000-0100-000003000000}">
      <text>
        <r>
          <rPr>
            <sz val="10"/>
            <rFont val="맑은 고딕"/>
            <family val="2"/>
          </rPr>
          <t>Source: README.md Benchmarks, Mixdog $0.476 vs Codex CLI $0.782 per trial</t>
        </r>
      </text>
    </comment>
    <comment ref="C10" authorId="0" shapeId="0" xr:uid="{00000000-0006-0000-0100-00000B000000}">
      <text>
        <r>
          <rPr>
            <sz val="10"/>
            <rFont val="맑은 고딕"/>
            <family val="2"/>
          </rPr>
          <t>Source: README.md Benchmarks, Mixdog $0.476 vs Codex CLI $0.782 per trial</t>
        </r>
      </text>
    </comment>
    <comment ref="B11" authorId="0" shapeId="0" xr:uid="{00000000-0006-0000-0100-000004000000}">
      <text>
        <r>
          <rPr>
            <sz val="10"/>
            <rFont val="맑은 고딕"/>
            <family val="2"/>
          </rPr>
          <t>Source: README.md Benchmarks, median final context 18.5k vs 34.3k tokens</t>
        </r>
      </text>
    </comment>
    <comment ref="C11" authorId="0" shapeId="0" xr:uid="{00000000-0006-0000-0100-00000C000000}">
      <text>
        <r>
          <rPr>
            <sz val="10"/>
            <rFont val="맑은 고딕"/>
            <family val="2"/>
          </rPr>
          <t>Source: README.md Benchmarks, median final context 18.5k vs 34.3k tokens</t>
        </r>
      </text>
    </comment>
    <comment ref="B12" authorId="0" shapeId="0" xr:uid="{00000000-0006-0000-0100-000005000000}">
      <text>
        <r>
          <rPr>
            <sz val="10"/>
            <rFont val="맑은 고딕"/>
            <family val="2"/>
          </rPr>
          <t>Source: README.md Benchmarks, 385/445 vs 383/445</t>
        </r>
      </text>
    </comment>
    <comment ref="C12" authorId="0" shapeId="0" xr:uid="{00000000-0006-0000-0100-00000D000000}">
      <text>
        <r>
          <rPr>
            <sz val="10"/>
            <rFont val="맑은 고딕"/>
            <family val="2"/>
          </rPr>
          <t>Source: README.md Benchmarks, 385/445 vs 383/445</t>
        </r>
      </text>
    </comment>
    <comment ref="B14" authorId="0" shapeId="0" xr:uid="{00000000-0006-0000-0100-000006000000}">
      <text>
        <r>
          <rPr>
            <sz val="10"/>
            <rFont val="맑은 고딕"/>
            <family val="2"/>
          </rPr>
          <t>Source: README.md Benchmarks, 415s vs 437s wall time per trial</t>
        </r>
      </text>
    </comment>
    <comment ref="C14" authorId="0" shapeId="0" xr:uid="{00000000-0006-0000-0100-00000E000000}">
      <text>
        <r>
          <rPr>
            <sz val="10"/>
            <rFont val="맑은 고딕"/>
            <family val="2"/>
          </rPr>
          <t>Source: README.md Benchmarks, 415s vs 437s wall time per trial</t>
        </r>
      </text>
    </comment>
    <comment ref="B18" authorId="0" shapeId="0" xr:uid="{00000000-0006-0000-0100-000007000000}">
      <text>
        <r>
          <rPr>
            <sz val="10"/>
            <rFont val="맑은 고딕"/>
            <family val="2"/>
          </rPr>
          <t>Source: README.md Benchmarks, Mixdog $104.29 vs Claude Code $129.21 per run</t>
        </r>
      </text>
    </comment>
    <comment ref="C18" authorId="0" shapeId="0" xr:uid="{00000000-0006-0000-0100-00000F000000}">
      <text>
        <r>
          <rPr>
            <sz val="10"/>
            <rFont val="맑은 고딕"/>
            <family val="2"/>
          </rPr>
          <t>Source: README.md Benchmarks, Mixdog $104.29 vs Claude Code $129.21 per run</t>
        </r>
      </text>
    </comment>
    <comment ref="B19" authorId="0" shapeId="0" xr:uid="{00000000-0006-0000-0100-000008000000}">
      <text>
        <r>
          <rPr>
            <sz val="10"/>
            <rFont val="맑은 고딕"/>
            <family val="2"/>
          </rPr>
          <t>Source: README.md Benchmarks, median final context 27.6k vs 38.2k tokens</t>
        </r>
      </text>
    </comment>
    <comment ref="C19" authorId="0" shapeId="0" xr:uid="{00000000-0006-0000-0100-000010000000}">
      <text>
        <r>
          <rPr>
            <sz val="10"/>
            <rFont val="맑은 고딕"/>
            <family val="2"/>
          </rPr>
          <t>Source: README.md Benchmarks, median final context 27.6k vs 38.2k tokens</t>
        </r>
      </text>
    </comment>
    <comment ref="B20" authorId="0" shapeId="0" xr:uid="{00000000-0006-0000-0100-000009000000}">
      <text>
        <r>
          <rPr>
            <sz val="10"/>
            <rFont val="맑은 고딕"/>
            <family val="2"/>
          </rPr>
          <t>Source: README.md Benchmarks, 79/89 vs 77/89</t>
        </r>
      </text>
    </comment>
    <comment ref="C20" authorId="0" shapeId="0" xr:uid="{00000000-0006-0000-0100-000011000000}">
      <text>
        <r>
          <rPr>
            <sz val="10"/>
            <rFont val="맑은 고딕"/>
            <family val="2"/>
          </rPr>
          <t>Source: README.md Benchmarks, 79/89 vs 77/89</t>
        </r>
      </text>
    </comment>
    <comment ref="B22" authorId="0" shapeId="0" xr:uid="{00000000-0006-0000-0100-00000A000000}">
      <text>
        <r>
          <rPr>
            <sz val="10"/>
            <rFont val="맑은 고딕"/>
            <family val="2"/>
          </rPr>
          <t>Source: README.md Benchmarks, 610s vs 708s wall time per trial</t>
        </r>
      </text>
    </comment>
    <comment ref="C22" authorId="0" shapeId="0" xr:uid="{00000000-0006-0000-0100-000012000000}">
      <text>
        <r>
          <rPr>
            <sz val="10"/>
            <rFont val="맑은 고딕"/>
            <family val="2"/>
          </rPr>
          <t>Source: README.md Benchmarks, 610s vs 708s wall time per trial</t>
        </r>
      </text>
    </comment>
  </commentList>
</comments>
</file>

<file path=xl/sharedStrings.xml><?xml version="1.0" encoding="utf-8"?>
<sst xmlns="http://schemas.openxmlformats.org/spreadsheetml/2006/main" count="98" uniqueCount="83">
  <si>
    <t>제품 사용 안내</t>
  </si>
  <si>
    <t>Mixdog 사용보고서</t>
  </si>
  <si>
    <t>버전 0.9.165  ·  근거 README.md  ·  Terminal-Bench 2.1</t>
  </si>
  <si>
    <t>요지</t>
  </si>
  <si>
    <t>Mixdog는 같은 모델에서 비용과 최종 context를 줄이면서 성공률은 동등하거나 높다. 아래 값은 벤치마크 시트의 수식이다.</t>
  </si>
  <si>
    <t>핵심 지표</t>
  </si>
  <si>
    <t>항목</t>
  </si>
  <si>
    <t>값</t>
  </si>
  <si>
    <t>의미</t>
  </si>
  <si>
    <t>Sol 비용 절감</t>
  </si>
  <si>
    <t>1 − Mixdog/Codex 비용</t>
  </si>
  <si>
    <t>Sol context 절감</t>
  </si>
  <si>
    <t>1 − Mixdog/Codex context</t>
  </si>
  <si>
    <t>Sol 성공률</t>
  </si>
  <si>
    <t>통과÷445</t>
  </si>
  <si>
    <t>Opus 비용 절감</t>
  </si>
  <si>
    <t>1 − Mixdog/Claude Code 비용</t>
  </si>
  <si>
    <t>Opus context 절감</t>
  </si>
  <si>
    <t>1 − Mixdog/Claude Code context</t>
  </si>
  <si>
    <t>Opus 속도 (상대÷Mixdog)</t>
  </si>
  <si>
    <t>Claude Code 시간 ÷ Mixdog 시간</t>
  </si>
  <si>
    <t>지표</t>
  </si>
  <si>
    <t>Sol 절감</t>
  </si>
  <si>
    <t>Opus 절감</t>
  </si>
  <si>
    <t>비용</t>
  </si>
  <si>
    <t>context</t>
  </si>
  <si>
    <t>입력과 계산</t>
  </si>
  <si>
    <t>Terminal-Bench 2.1 · 같은 89과제 · Harbor verifier · fast mode off</t>
  </si>
  <si>
    <t>파란 글자 = README 입력. 검은 글자 = 수식. 비용은 API 정가 환산이며 구독 청구액이 아님.</t>
  </si>
  <si>
    <t>Sol trials (k=5)</t>
  </si>
  <si>
    <t>회</t>
  </si>
  <si>
    <t>Opus tasks (k=1)</t>
  </si>
  <si>
    <t>과제</t>
  </si>
  <si>
    <t>GPT-5.6 Sol xhigh — Mixdog vs Codex CLI</t>
  </si>
  <si>
    <t>Mixdog</t>
  </si>
  <si>
    <t>Codex CLI</t>
  </si>
  <si>
    <t>계산</t>
  </si>
  <si>
    <t>비용 (USD/trial)</t>
  </si>
  <si>
    <t>최종 context (tokens)</t>
  </si>
  <si>
    <t>통과 (건)</t>
  </si>
  <si>
    <t>성공률</t>
  </si>
  <si>
    <t>시험 시간 (s)</t>
  </si>
  <si>
    <t>Claude Opus 5 — Mixdog vs Claude Code</t>
  </si>
  <si>
    <t>Claude Code</t>
  </si>
  <si>
    <t>비용 (USD/run)</t>
  </si>
  <si>
    <t>차트용 절감</t>
  </si>
  <si>
    <t>시작 명령</t>
  </si>
  <si>
    <t>출처: README.md Run 절. 전체 옵션은 mixdog --help.</t>
  </si>
  <si>
    <t>명령</t>
  </si>
  <si>
    <t>mixdog</t>
  </si>
  <si>
    <t>현재 프로젝트에서 대화형 세션 시작</t>
  </si>
  <si>
    <t>mixdog --workflow solo</t>
  </si>
  <si>
    <t>Solo 워크플로(기본). Lead가 위임 없이 직접 수행</t>
  </si>
  <si>
    <t>mixdog --readonly</t>
  </si>
  <si>
    <t>읽기 전용 도구만 사용</t>
  </si>
  <si>
    <t>mixdog --help</t>
  </si>
  <si>
    <t>전체 옵션 참조</t>
  </si>
  <si>
    <t>권장 첫 사용</t>
  </si>
  <si>
    <t>Desktop 설치 파일 또는 npm으로 CLI를 설치한다.</t>
  </si>
  <si>
    <t>첫 실행에서 제공자를 인증하고 모델을 고른다.</t>
  </si>
  <si>
    <t>프로젝트 폴더에서 할 일을 지시한다. 기본 워크플로는 Solo다.</t>
  </si>
  <si>
    <t>브라우저나 Windows 앱 조작이 필요하면 첫 호출 승인 후에 쓴다.</t>
  </si>
  <si>
    <t>오래 걸리는 목표는 Goal로 묶어 완료 조건을 명시한다.</t>
  </si>
  <si>
    <t>제공자</t>
  </si>
  <si>
    <t>구독 OAuth와 API 키. 임의 OpenAI 호환 엔드포인트 레지스트리가 아니며 Ollama·LM Studio 경로는 은퇴했다.</t>
  </si>
  <si>
    <t>인증</t>
  </si>
  <si>
    <t>Anthropic</t>
  </si>
  <si>
    <t>API 키, Claude 계정 OAuth</t>
  </si>
  <si>
    <t>OpenAI</t>
  </si>
  <si>
    <t>API 키, ChatGPT/Codex 계정 OAuth</t>
  </si>
  <si>
    <t>Google Gemini</t>
  </si>
  <si>
    <t>API 키, Antigravity OAuth</t>
  </si>
  <si>
    <t>xAI</t>
  </si>
  <si>
    <t>API 키, Grok 계정 OAuth</t>
  </si>
  <si>
    <t>OpenRouter</t>
  </si>
  <si>
    <t>API 키</t>
  </si>
  <si>
    <t>Cursor</t>
  </si>
  <si>
    <t>실험적 계정 OAuth</t>
  </si>
  <si>
    <t>DeepSeek / OpenCode Go</t>
  </si>
  <si>
    <t>지원</t>
  </si>
  <si>
    <t>Local Provider</t>
  </si>
  <si>
    <t>mixdog-local</t>
  </si>
  <si>
    <t>Local Provider는 Windows x64와 NVIDIA GPU, 선택한 모델을 담을 VRAM이 필요하다. 확장 → Plugin → Local Provider.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</si>
</sst>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\$0.000"/>
    <numFmt numFmtId="178" formatCode="\$0.00"/>
  </numFmts>
  <fonts count="13" x14ac:knownFonts="1">
    <font>
      <sz val="11"/>
      <color rgb="FF000000"/>
      <name val="맑은 고딕"/>
      <family val="2"/>
      <charset val="1"/>
    </font>
    <font>
      <b/>
      <sz val="9"/>
      <color rgb="FF1B4F72"/>
      <name val="맑은 고딕"/>
      <family val="2"/>
      <charset val="1"/>
    </font>
    <font>
      <b/>
      <sz val="16"/>
      <color rgb="FF1A1A1A"/>
      <name val="맑은 고딕"/>
      <family val="2"/>
      <charset val="1"/>
    </font>
    <font>
      <sz val="10"/>
      <color rgb="FF6B7280"/>
      <name val="맑은 고딕"/>
      <family val="2"/>
      <charset val="1"/>
    </font>
    <font>
      <sz val="10"/>
      <color rgb="FF000000"/>
      <name val="맑은 고딕"/>
      <family val="2"/>
      <charset val="1"/>
    </font>
    <font>
      <b/>
      <sz val="8.5"/>
      <color rgb="FF1B4F72"/>
      <name val="맑은 고딕"/>
      <family val="2"/>
      <charset val="1"/>
    </font>
    <font>
      <b/>
      <sz val="12"/>
      <color rgb="FF000000"/>
      <name val="맑은 고딕"/>
      <family val="2"/>
      <charset val="1"/>
    </font>
    <font>
      <b/>
      <sz val="10"/>
      <color rgb="FF000000"/>
      <name val="맑은 고딕"/>
      <family val="2"/>
      <charset val="1"/>
    </font>
    <font>
      <sz val="9"/>
      <color rgb="FF6B7280"/>
      <name val="맑은 고딕"/>
      <family val="2"/>
      <charset val="1"/>
    </font>
    <font>
      <b/>
      <sz val="16"/>
      <color rgb="FF000000"/>
      <name val="맑은 고딕"/>
      <family val="2"/>
      <charset val="1"/>
    </font>
    <font>
      <sz val="10"/>
      <color rgb="FF0000FF"/>
      <name val="맑은 고딕"/>
      <family val="2"/>
      <charset val="1"/>
    </font>
    <font>
      <sz val="10"/>
      <name val="맑은 고딕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EF2F7"/>
        <bgColor rgb="FFE7E9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ED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176" fontId="4" fillId="0" borderId="0" xfId="0" applyNumberFormat="1" applyFont="1" applyAlignment="1">
      <alignment horizontal="right"/>
    </xf>
    <xf numFmtId="0" fontId="8" fillId="0" borderId="0" xfId="0" applyFont="1"/>
    <xf numFmtId="2" fontId="4" fillId="0" borderId="0" xfId="0" applyNumberFormat="1" applyFont="1" applyAlignment="1">
      <alignment horizontal="right"/>
    </xf>
    <xf numFmtId="0" fontId="7" fillId="2" borderId="1" xfId="0" applyFont="1" applyFill="1" applyBorder="1"/>
    <xf numFmtId="0" fontId="9" fillId="0" borderId="0" xfId="0" applyFont="1"/>
    <xf numFmtId="0" fontId="8" fillId="0" borderId="0" xfId="0" applyFont="1" applyAlignment="1">
      <alignment wrapText="1"/>
    </xf>
    <xf numFmtId="1" fontId="10" fillId="0" borderId="0" xfId="0" applyNumberFormat="1" applyFont="1"/>
    <xf numFmtId="0" fontId="7" fillId="2" borderId="1" xfId="0" applyFont="1" applyFill="1" applyBorder="1" applyAlignment="1">
      <alignment horizontal="right"/>
    </xf>
    <xf numFmtId="177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0" fontId="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2" borderId="1" xfId="0" applyFont="1" applyFill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EEF2F7"/>
      <rgbColor rgb="FFFF0000"/>
      <rgbColor rgb="FF4EFB34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7CBD1"/>
      <rgbColor rgb="FF5F6368"/>
      <rgbColor rgb="FF9999FF"/>
      <rgbColor rgb="FF993366"/>
      <rgbColor rgb="FFFFFFCC"/>
      <rgbColor rgb="FFE7E9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B4C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4F72"/>
      <rgbColor rgb="FF339966"/>
      <rgbColor rgb="FF171717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  <a:ea typeface="DejaVu Sans"/>
              </a:rPr>
              <a:t>비용·context 절감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요약!$B$17</c:f>
              <c:strCache>
                <c:ptCount val="1"/>
                <c:pt idx="0">
                  <c:v>Sol 절감</c:v>
                </c:pt>
              </c:strCache>
            </c:strRef>
          </c:tx>
          <c:spPr>
            <a:solidFill>
              <a:srgbClr val="1B4F72"/>
            </a:solidFill>
            <a:ln w="1260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요약!$A$18:$A$19</c:f>
              <c:strCache>
                <c:ptCount val="2"/>
                <c:pt idx="0">
                  <c:v>비용</c:v>
                </c:pt>
                <c:pt idx="1">
                  <c:v>context</c:v>
                </c:pt>
              </c:strCache>
            </c:strRef>
          </c:cat>
          <c:val>
            <c:numRef>
              <c:f>요약!$B$18:$B$19</c:f>
              <c:numCache>
                <c:formatCode>0.0%</c:formatCode>
                <c:ptCount val="2"/>
                <c:pt idx="0">
                  <c:v>0.39130434782608703</c:v>
                </c:pt>
                <c:pt idx="1">
                  <c:v>0.46064139941690962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EFB-9DA1-9A0E8C74BB5A}"/>
            </c:ext>
          </c:extLst>
        </c:ser>
        <c:ser>
          <c:idx val="1"/>
          <c:order val="1"/>
          <c:tx>
            <c:strRef>
              <c:f>요약!$C$17</c:f>
              <c:strCache>
                <c:ptCount val="1"/>
                <c:pt idx="0">
                  <c:v>Opus 절감</c:v>
                </c:pt>
              </c:strCache>
            </c:strRef>
          </c:tx>
          <c:spPr>
            <a:solidFill>
              <a:srgbClr val="A6B4C4"/>
            </a:solidFill>
            <a:ln w="1260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요약!$A$18:$A$19</c:f>
              <c:strCache>
                <c:ptCount val="2"/>
                <c:pt idx="0">
                  <c:v>비용</c:v>
                </c:pt>
                <c:pt idx="1">
                  <c:v>context</c:v>
                </c:pt>
              </c:strCache>
            </c:strRef>
          </c:cat>
          <c:val>
            <c:numRef>
              <c:f>요약!$C$18:$C$19</c:f>
              <c:numCache>
                <c:formatCode>0.0%</c:formatCode>
                <c:ptCount val="2"/>
                <c:pt idx="0">
                  <c:v>0.19286432938627041</c:v>
                </c:pt>
                <c:pt idx="1">
                  <c:v>0.27748691099476441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6-4EFB-9DA1-9A0E8C74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0"/>
        <c:axId val="55461556"/>
        <c:axId val="4569286"/>
      </c:barChart>
      <c:catAx>
        <c:axId val="554615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  <a:ea typeface="DejaVu Sans"/>
              </a:defRPr>
            </a:pPr>
            <a:endParaRPr lang="ko-KR"/>
          </a:p>
        </c:txPr>
        <c:crossAx val="4569286"/>
        <c:crosses val="autoZero"/>
        <c:auto val="1"/>
        <c:lblAlgn val="ctr"/>
        <c:lblOffset val="100"/>
        <c:noMultiLvlLbl val="0"/>
      </c:catAx>
      <c:valAx>
        <c:axId val="456928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  <a:ea typeface="DejaVu Sans"/>
              </a:defRPr>
            </a:pPr>
            <a:endParaRPr lang="ko-KR"/>
          </a:p>
        </c:txPr>
        <c:crossAx val="554615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147960</xdr:rowOff>
    </xdr:from>
    <xdr:to>
      <xdr:col>4</xdr:col>
      <xdr:colOff>335160</xdr:colOff>
      <xdr:row>34</xdr:row>
      <xdr:rowOff>146520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292;&#52824;&#47560;&#5335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벤치마크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usBench" displayName="OpusBench" ref="A17:D22" totalsRowShown="0">
  <autoFilter ref="A17:D22" xr:uid="{00000000-0009-0000-0100-000001000000}"/>
  <tableColumns count="4">
    <tableColumn id="1" xr3:uid="{00000000-0010-0000-0000-000001000000}" name="지표"/>
    <tableColumn id="2" xr3:uid="{00000000-0010-0000-0000-000002000000}" name="Mixdog"/>
    <tableColumn id="3" xr3:uid="{00000000-0010-0000-0000-000003000000}" name="Claude Code"/>
    <tableColumn id="4" xr3:uid="{00000000-0010-0000-0000-000004000000}" name="계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olBench" displayName="SolBench" ref="A9:D14" totalsRowShown="0">
  <autoFilter ref="A9:D14" xr:uid="{00000000-0009-0000-0100-000003000000}"/>
  <tableColumns count="4">
    <tableColumn id="1" xr3:uid="{00000000-0010-0000-0100-000001000000}" name="지표"/>
    <tableColumn id="2" xr3:uid="{00000000-0010-0000-0100-000002000000}" name="Mixdog"/>
    <tableColumn id="3" xr3:uid="{00000000-0010-0000-0100-000003000000}" name="Codex CLI"/>
    <tableColumn id="4" xr3:uid="{00000000-0010-0000-0100-000004000000}" name="계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tartCommands" displayName="StartCommands" ref="A4:B8" totalsRowShown="0">
  <autoFilter ref="A4:B8" xr:uid="{00000000-0009-0000-0100-000004000000}"/>
  <tableColumns count="2">
    <tableColumn id="1" xr3:uid="{00000000-0010-0000-0200-000001000000}" name="명령"/>
    <tableColumn id="2" xr3:uid="{00000000-0010-0000-0200-000002000000}" name="의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viders" displayName="Providers" ref="A4:B12" totalsRowShown="0">
  <autoFilter ref="A4:B12" xr:uid="{00000000-0009-0000-0100-000002000000}"/>
  <tableColumns count="2">
    <tableColumn id="1" xr3:uid="{00000000-0010-0000-0300-000001000000}" name="제공자"/>
    <tableColumn id="2" xr3:uid="{00000000-0010-0000-0300-000002000000}" name="인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"/>
  <sheetViews>
    <sheetView tabSelected="1" zoomScaleNormal="100" workbookViewId="0">
      <selection sqref="A1:C1"/>
    </sheetView>
  </sheetViews>
  <sheetFormatPr defaultColWidth="8" defaultRowHeight="16.5" x14ac:dyDescent="0.3"/>
  <cols>
    <col min="1" max="1" width="25" customWidth="1"/>
    <col min="2" max="2" width="10" customWidth="1"/>
    <col min="3" max="3" width="32" customWidth="1"/>
  </cols>
  <sheetData>
    <row r="1" spans="1:3" x14ac:dyDescent="0.3">
      <c r="A1" s="25" t="s">
        <v>0</v>
      </c>
      <c r="B1" s="25"/>
      <c r="C1" s="25"/>
    </row>
    <row r="2" spans="1:3" ht="26.25" x14ac:dyDescent="0.5">
      <c r="A2" s="26" t="s">
        <v>1</v>
      </c>
      <c r="B2" s="26"/>
      <c r="C2" s="26"/>
    </row>
    <row r="3" spans="1:3" x14ac:dyDescent="0.3">
      <c r="A3" s="27" t="s">
        <v>2</v>
      </c>
      <c r="B3" s="27"/>
      <c r="C3" s="27"/>
    </row>
    <row r="4" spans="1:3" x14ac:dyDescent="0.3">
      <c r="A4" s="2"/>
      <c r="B4" s="2"/>
      <c r="C4" s="2"/>
    </row>
    <row r="5" spans="1:3" x14ac:dyDescent="0.3">
      <c r="A5" s="3" t="s">
        <v>3</v>
      </c>
      <c r="B5" s="2"/>
      <c r="C5" s="2"/>
    </row>
    <row r="6" spans="1:3" ht="26.85" customHeight="1" x14ac:dyDescent="0.3">
      <c r="A6" s="28" t="s">
        <v>4</v>
      </c>
      <c r="B6" s="28"/>
      <c r="C6" s="28"/>
    </row>
    <row r="7" spans="1:3" x14ac:dyDescent="0.3">
      <c r="A7" s="2"/>
      <c r="B7" s="2"/>
      <c r="C7" s="2"/>
    </row>
    <row r="8" spans="1:3" ht="17.25" x14ac:dyDescent="0.3">
      <c r="A8" s="4" t="s">
        <v>5</v>
      </c>
      <c r="B8" s="2"/>
      <c r="C8" s="2"/>
    </row>
    <row r="9" spans="1:3" x14ac:dyDescent="0.3">
      <c r="A9" s="5" t="s">
        <v>6</v>
      </c>
      <c r="B9" s="6" t="s">
        <v>7</v>
      </c>
      <c r="C9" s="6" t="s">
        <v>8</v>
      </c>
    </row>
    <row r="10" spans="1:3" x14ac:dyDescent="0.3">
      <c r="A10" s="2" t="s">
        <v>9</v>
      </c>
      <c r="B10" s="7">
        <f>'TB21'!D10</f>
        <v>0.39130434782608703</v>
      </c>
      <c r="C10" s="8" t="s">
        <v>10</v>
      </c>
    </row>
    <row r="11" spans="1:3" x14ac:dyDescent="0.3">
      <c r="A11" s="2" t="s">
        <v>11</v>
      </c>
      <c r="B11" s="7">
        <f>'TB21'!D11</f>
        <v>0.46064139941690962</v>
      </c>
      <c r="C11" s="8" t="s">
        <v>12</v>
      </c>
    </row>
    <row r="12" spans="1:3" x14ac:dyDescent="0.3">
      <c r="A12" s="2" t="s">
        <v>13</v>
      </c>
      <c r="B12" s="7">
        <f>'TB21'!B13</f>
        <v>0.8651685393258427</v>
      </c>
      <c r="C12" s="8" t="s">
        <v>14</v>
      </c>
    </row>
    <row r="13" spans="1:3" x14ac:dyDescent="0.3">
      <c r="A13" s="2" t="s">
        <v>15</v>
      </c>
      <c r="B13" s="7">
        <f>'TB21'!D18</f>
        <v>0.19286432938627041</v>
      </c>
      <c r="C13" s="8" t="s">
        <v>16</v>
      </c>
    </row>
    <row r="14" spans="1:3" x14ac:dyDescent="0.3">
      <c r="A14" s="2" t="s">
        <v>17</v>
      </c>
      <c r="B14" s="7">
        <f>'TB21'!D19</f>
        <v>0.27748691099476441</v>
      </c>
      <c r="C14" s="8" t="s">
        <v>18</v>
      </c>
    </row>
    <row r="15" spans="1:3" x14ac:dyDescent="0.3">
      <c r="A15" s="2" t="s">
        <v>19</v>
      </c>
      <c r="B15" s="9">
        <f>'TB21'!D22</f>
        <v>1.160655737704918</v>
      </c>
      <c r="C15" s="8" t="s">
        <v>20</v>
      </c>
    </row>
    <row r="16" spans="1:3" x14ac:dyDescent="0.3">
      <c r="A16" s="2"/>
      <c r="B16" s="2"/>
      <c r="C16" s="2"/>
    </row>
    <row r="17" spans="1:3" x14ac:dyDescent="0.3">
      <c r="A17" s="10" t="s">
        <v>21</v>
      </c>
      <c r="B17" s="10" t="s">
        <v>22</v>
      </c>
      <c r="C17" s="10" t="s">
        <v>23</v>
      </c>
    </row>
    <row r="18" spans="1:3" x14ac:dyDescent="0.3">
      <c r="A18" s="2" t="s">
        <v>24</v>
      </c>
      <c r="B18" s="7">
        <f>'TB21'!D10</f>
        <v>0.39130434782608703</v>
      </c>
      <c r="C18" s="7">
        <f>'TB21'!D18</f>
        <v>0.19286432938627041</v>
      </c>
    </row>
    <row r="19" spans="1:3" x14ac:dyDescent="0.3">
      <c r="A19" s="2" t="s">
        <v>25</v>
      </c>
      <c r="B19" s="7">
        <f>'TB21'!D11</f>
        <v>0.46064139941690962</v>
      </c>
      <c r="C19" s="7">
        <f>'TB21'!D19</f>
        <v>0.27748691099476441</v>
      </c>
    </row>
  </sheetData>
  <mergeCells count="4">
    <mergeCell ref="A1:C1"/>
    <mergeCell ref="A2:C2"/>
    <mergeCell ref="A3:C3"/>
    <mergeCell ref="A6:C6"/>
  </mergeCells>
  <phoneticPr fontId="12" type="noConversion"/>
  <pageMargins left="0.7" right="0.7" top="0.75" bottom="0.75" header="0.511811023622047" footer="0.511811023622047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7"/>
  <sheetViews>
    <sheetView zoomScaleNormal="100" workbookViewId="0">
      <pane ySplit="8" topLeftCell="A9" activePane="bottomLeft" state="frozen"/>
      <selection pane="bottomLeft"/>
    </sheetView>
  </sheetViews>
  <sheetFormatPr defaultColWidth="8" defaultRowHeight="16.5" x14ac:dyDescent="0.3"/>
  <cols>
    <col min="1" max="1" width="80" customWidth="1"/>
    <col min="2" max="2" width="10" customWidth="1"/>
    <col min="3" max="3" width="13" customWidth="1"/>
  </cols>
  <sheetData>
    <row r="1" spans="1:4" ht="26.25" x14ac:dyDescent="0.5">
      <c r="A1" s="11" t="s">
        <v>26</v>
      </c>
      <c r="B1" s="2"/>
      <c r="C1" s="2"/>
      <c r="D1" s="2"/>
    </row>
    <row r="2" spans="1:4" x14ac:dyDescent="0.3">
      <c r="A2" s="1" t="s">
        <v>27</v>
      </c>
      <c r="B2" s="2"/>
      <c r="C2" s="2"/>
      <c r="D2" s="2"/>
    </row>
    <row r="3" spans="1:4" x14ac:dyDescent="0.3">
      <c r="A3" s="12" t="s">
        <v>28</v>
      </c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 t="s">
        <v>29</v>
      </c>
      <c r="B5" s="13">
        <v>445</v>
      </c>
      <c r="C5" s="2" t="s">
        <v>30</v>
      </c>
      <c r="D5" s="2"/>
    </row>
    <row r="6" spans="1:4" x14ac:dyDescent="0.3">
      <c r="A6" s="2" t="s">
        <v>31</v>
      </c>
      <c r="B6" s="13">
        <v>89</v>
      </c>
      <c r="C6" s="2" t="s">
        <v>32</v>
      </c>
      <c r="D6" s="2"/>
    </row>
    <row r="7" spans="1:4" x14ac:dyDescent="0.3">
      <c r="A7" s="2"/>
      <c r="B7" s="2"/>
      <c r="C7" s="2"/>
      <c r="D7" s="2"/>
    </row>
    <row r="8" spans="1:4" ht="17.25" x14ac:dyDescent="0.3">
      <c r="A8" s="4" t="s">
        <v>33</v>
      </c>
      <c r="B8" s="2"/>
      <c r="C8" s="2"/>
      <c r="D8" s="2"/>
    </row>
    <row r="9" spans="1:4" x14ac:dyDescent="0.3">
      <c r="A9" s="10" t="s">
        <v>21</v>
      </c>
      <c r="B9" s="14" t="s">
        <v>34</v>
      </c>
      <c r="C9" s="14" t="s">
        <v>35</v>
      </c>
      <c r="D9" s="14" t="s">
        <v>36</v>
      </c>
    </row>
    <row r="10" spans="1:4" x14ac:dyDescent="0.3">
      <c r="A10" s="2" t="s">
        <v>37</v>
      </c>
      <c r="B10" s="15">
        <v>0.47599999999999998</v>
      </c>
      <c r="C10" s="15">
        <v>0.78200000000000003</v>
      </c>
      <c r="D10" s="7">
        <f>1-B10/C10</f>
        <v>0.39130434782608703</v>
      </c>
    </row>
    <row r="11" spans="1:4" x14ac:dyDescent="0.3">
      <c r="A11" s="2" t="s">
        <v>38</v>
      </c>
      <c r="B11" s="16">
        <v>18500</v>
      </c>
      <c r="C11" s="16">
        <v>34300</v>
      </c>
      <c r="D11" s="7">
        <f>1-B11/C11</f>
        <v>0.46064139941690962</v>
      </c>
    </row>
    <row r="12" spans="1:4" x14ac:dyDescent="0.3">
      <c r="A12" s="2" t="s">
        <v>39</v>
      </c>
      <c r="B12" s="17">
        <v>385</v>
      </c>
      <c r="C12" s="17">
        <v>383</v>
      </c>
      <c r="D12" s="18">
        <f>B12-C12</f>
        <v>2</v>
      </c>
    </row>
    <row r="13" spans="1:4" x14ac:dyDescent="0.3">
      <c r="A13" s="2" t="s">
        <v>40</v>
      </c>
      <c r="B13" s="7">
        <f>B12/$B$5</f>
        <v>0.8651685393258427</v>
      </c>
      <c r="C13" s="7">
        <f>C12/$B$5</f>
        <v>0.86067415730337082</v>
      </c>
      <c r="D13" s="7">
        <f>B13-C13</f>
        <v>4.4943820224718767E-3</v>
      </c>
    </row>
    <row r="14" spans="1:4" x14ac:dyDescent="0.3">
      <c r="A14" s="2" t="s">
        <v>41</v>
      </c>
      <c r="B14" s="17">
        <v>415</v>
      </c>
      <c r="C14" s="17">
        <v>437</v>
      </c>
      <c r="D14" s="9">
        <f>C14/B14</f>
        <v>1.0530120481927712</v>
      </c>
    </row>
    <row r="15" spans="1:4" x14ac:dyDescent="0.3">
      <c r="A15" s="2"/>
      <c r="B15" s="2"/>
      <c r="C15" s="2"/>
      <c r="D15" s="2"/>
    </row>
    <row r="16" spans="1:4" ht="17.25" x14ac:dyDescent="0.3">
      <c r="A16" s="4" t="s">
        <v>42</v>
      </c>
      <c r="B16" s="2"/>
      <c r="C16" s="2"/>
      <c r="D16" s="2"/>
    </row>
    <row r="17" spans="1:4" x14ac:dyDescent="0.3">
      <c r="A17" s="10" t="s">
        <v>21</v>
      </c>
      <c r="B17" s="14" t="s">
        <v>34</v>
      </c>
      <c r="C17" s="14" t="s">
        <v>43</v>
      </c>
      <c r="D17" s="14" t="s">
        <v>36</v>
      </c>
    </row>
    <row r="18" spans="1:4" x14ac:dyDescent="0.3">
      <c r="A18" s="2" t="s">
        <v>44</v>
      </c>
      <c r="B18" s="19">
        <v>104.29</v>
      </c>
      <c r="C18" s="19">
        <v>129.21</v>
      </c>
      <c r="D18" s="7">
        <f>1-B18/C18</f>
        <v>0.19286432938627041</v>
      </c>
    </row>
    <row r="19" spans="1:4" x14ac:dyDescent="0.3">
      <c r="A19" s="2" t="s">
        <v>38</v>
      </c>
      <c r="B19" s="16">
        <v>27600</v>
      </c>
      <c r="C19" s="16">
        <v>38200</v>
      </c>
      <c r="D19" s="7">
        <f>1-B19/C19</f>
        <v>0.27748691099476441</v>
      </c>
    </row>
    <row r="20" spans="1:4" x14ac:dyDescent="0.3">
      <c r="A20" s="2" t="s">
        <v>39</v>
      </c>
      <c r="B20" s="17">
        <v>79</v>
      </c>
      <c r="C20" s="17">
        <v>77</v>
      </c>
      <c r="D20" s="18">
        <f>B20-C20</f>
        <v>2</v>
      </c>
    </row>
    <row r="21" spans="1:4" x14ac:dyDescent="0.3">
      <c r="A21" s="2" t="s">
        <v>40</v>
      </c>
      <c r="B21" s="7">
        <f>B20/$B$6</f>
        <v>0.88764044943820219</v>
      </c>
      <c r="C21" s="7">
        <f>C20/$B$6</f>
        <v>0.8651685393258427</v>
      </c>
      <c r="D21" s="7">
        <f>B21-C21</f>
        <v>2.2471910112359494E-2</v>
      </c>
    </row>
    <row r="22" spans="1:4" x14ac:dyDescent="0.3">
      <c r="A22" s="2" t="s">
        <v>41</v>
      </c>
      <c r="B22" s="17">
        <v>610</v>
      </c>
      <c r="C22" s="17">
        <v>708</v>
      </c>
      <c r="D22" s="9">
        <f>C22/B22</f>
        <v>1.160655737704918</v>
      </c>
    </row>
    <row r="23" spans="1:4" x14ac:dyDescent="0.3">
      <c r="A23" s="2"/>
      <c r="B23" s="2"/>
      <c r="C23" s="2"/>
      <c r="D23" s="2"/>
    </row>
    <row r="24" spans="1:4" x14ac:dyDescent="0.3">
      <c r="A24" s="2" t="s">
        <v>45</v>
      </c>
      <c r="B24" s="2"/>
      <c r="C24" s="2"/>
      <c r="D24" s="2"/>
    </row>
    <row r="25" spans="1:4" x14ac:dyDescent="0.3">
      <c r="A25" s="10" t="s">
        <v>21</v>
      </c>
      <c r="B25" s="10" t="s">
        <v>22</v>
      </c>
      <c r="C25" s="10" t="s">
        <v>23</v>
      </c>
      <c r="D25" s="2"/>
    </row>
    <row r="26" spans="1:4" x14ac:dyDescent="0.3">
      <c r="A26" s="2" t="s">
        <v>24</v>
      </c>
      <c r="B26" s="7">
        <f>D10</f>
        <v>0.39130434782608703</v>
      </c>
      <c r="C26" s="7">
        <f>D18</f>
        <v>0.19286432938627041</v>
      </c>
      <c r="D26" s="2"/>
    </row>
    <row r="27" spans="1:4" x14ac:dyDescent="0.3">
      <c r="A27" s="2" t="s">
        <v>25</v>
      </c>
      <c r="B27" s="7">
        <f>D11</f>
        <v>0.46064139941690962</v>
      </c>
      <c r="C27" s="7">
        <f>D19</f>
        <v>0.27748691099476441</v>
      </c>
      <c r="D27" s="2"/>
    </row>
  </sheetData>
  <phoneticPr fontId="12" type="noConversion"/>
  <pageMargins left="0.7" right="0.7" top="0.75" bottom="0.75" header="0.511811023622047" footer="0.511811023622047"/>
  <pageSetup paperSize="9" orientation="landscape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5"/>
  <sheetViews>
    <sheetView zoomScaleNormal="100" workbookViewId="0">
      <pane ySplit="3" topLeftCell="A4" activePane="bottomLeft" state="frozen"/>
      <selection pane="bottomLeft"/>
    </sheetView>
  </sheetViews>
  <sheetFormatPr defaultColWidth="8" defaultRowHeight="16.5" x14ac:dyDescent="0.3"/>
  <cols>
    <col min="1" max="1" width="52" customWidth="1"/>
    <col min="2" max="2" width="63" customWidth="1"/>
  </cols>
  <sheetData>
    <row r="1" spans="1:2" ht="26.25" x14ac:dyDescent="0.5">
      <c r="A1" s="11" t="s">
        <v>46</v>
      </c>
      <c r="B1" s="2"/>
    </row>
    <row r="2" spans="1:2" x14ac:dyDescent="0.3">
      <c r="A2" s="1" t="s">
        <v>47</v>
      </c>
      <c r="B2" s="2"/>
    </row>
    <row r="3" spans="1:2" x14ac:dyDescent="0.3">
      <c r="A3" s="2"/>
      <c r="B3" s="2"/>
    </row>
    <row r="4" spans="1:2" x14ac:dyDescent="0.3">
      <c r="A4" s="10" t="s">
        <v>48</v>
      </c>
      <c r="B4" s="10" t="s">
        <v>8</v>
      </c>
    </row>
    <row r="5" spans="1:2" x14ac:dyDescent="0.3">
      <c r="A5" s="2" t="s">
        <v>49</v>
      </c>
      <c r="B5" s="2" t="s">
        <v>50</v>
      </c>
    </row>
    <row r="6" spans="1:2" x14ac:dyDescent="0.3">
      <c r="A6" s="2" t="s">
        <v>51</v>
      </c>
      <c r="B6" s="2" t="s">
        <v>52</v>
      </c>
    </row>
    <row r="7" spans="1:2" x14ac:dyDescent="0.3">
      <c r="A7" s="2" t="s">
        <v>53</v>
      </c>
      <c r="B7" s="2" t="s">
        <v>54</v>
      </c>
    </row>
    <row r="8" spans="1:2" x14ac:dyDescent="0.3">
      <c r="A8" s="2" t="s">
        <v>55</v>
      </c>
      <c r="B8" s="2" t="s">
        <v>56</v>
      </c>
    </row>
    <row r="9" spans="1:2" x14ac:dyDescent="0.3">
      <c r="A9" s="2"/>
      <c r="B9" s="2"/>
    </row>
    <row r="10" spans="1:2" ht="17.25" x14ac:dyDescent="0.3">
      <c r="A10" s="4" t="s">
        <v>57</v>
      </c>
      <c r="B10" s="2"/>
    </row>
    <row r="11" spans="1:2" x14ac:dyDescent="0.3">
      <c r="A11" s="20">
        <v>1</v>
      </c>
      <c r="B11" s="2" t="s">
        <v>58</v>
      </c>
    </row>
    <row r="12" spans="1:2" x14ac:dyDescent="0.3">
      <c r="A12" s="20">
        <v>2</v>
      </c>
      <c r="B12" s="2" t="s">
        <v>59</v>
      </c>
    </row>
    <row r="13" spans="1:2" x14ac:dyDescent="0.3">
      <c r="A13" s="20">
        <v>3</v>
      </c>
      <c r="B13" s="2" t="s">
        <v>60</v>
      </c>
    </row>
    <row r="14" spans="1:2" x14ac:dyDescent="0.3">
      <c r="A14" s="20">
        <v>4</v>
      </c>
      <c r="B14" s="2" t="s">
        <v>61</v>
      </c>
    </row>
    <row r="15" spans="1:2" x14ac:dyDescent="0.3">
      <c r="A15" s="20">
        <v>5</v>
      </c>
      <c r="B15" s="2" t="s">
        <v>62</v>
      </c>
    </row>
  </sheetData>
  <phoneticPr fontId="12" type="noConversion"/>
  <pageMargins left="0.7" right="0.7" top="0.75" bottom="0.75" header="0.511811023622047" footer="0.511811023622047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4"/>
  <sheetViews>
    <sheetView zoomScaleNormal="100" workbookViewId="0">
      <pane ySplit="3" topLeftCell="A4" activePane="bottomLeft" state="frozen"/>
      <selection pane="bottomLeft"/>
    </sheetView>
  </sheetViews>
  <sheetFormatPr defaultColWidth="8" defaultRowHeight="16.5" x14ac:dyDescent="0.3"/>
  <cols>
    <col min="1" max="1" width="80" customWidth="1"/>
    <col min="2" max="2" width="34" customWidth="1"/>
  </cols>
  <sheetData>
    <row r="1" spans="1:2" ht="26.25" x14ac:dyDescent="0.5">
      <c r="A1" s="21" t="s">
        <v>63</v>
      </c>
      <c r="B1" s="22"/>
    </row>
    <row r="2" spans="1:2" ht="27.75" x14ac:dyDescent="0.3">
      <c r="A2" s="23" t="s">
        <v>64</v>
      </c>
      <c r="B2" s="22"/>
    </row>
    <row r="3" spans="1:2" x14ac:dyDescent="0.3">
      <c r="A3" s="22"/>
      <c r="B3" s="22"/>
    </row>
    <row r="4" spans="1:2" x14ac:dyDescent="0.3">
      <c r="A4" s="24" t="s">
        <v>63</v>
      </c>
      <c r="B4" s="24" t="s">
        <v>65</v>
      </c>
    </row>
    <row r="5" spans="1:2" x14ac:dyDescent="0.3">
      <c r="A5" s="22" t="s">
        <v>66</v>
      </c>
      <c r="B5" s="22" t="s">
        <v>67</v>
      </c>
    </row>
    <row r="6" spans="1:2" x14ac:dyDescent="0.3">
      <c r="A6" s="22" t="s">
        <v>68</v>
      </c>
      <c r="B6" s="22" t="s">
        <v>69</v>
      </c>
    </row>
    <row r="7" spans="1:2" x14ac:dyDescent="0.3">
      <c r="A7" s="22" t="s">
        <v>70</v>
      </c>
      <c r="B7" s="22" t="s">
        <v>71</v>
      </c>
    </row>
    <row r="8" spans="1:2" x14ac:dyDescent="0.3">
      <c r="A8" s="22" t="s">
        <v>72</v>
      </c>
      <c r="B8" s="22" t="s">
        <v>73</v>
      </c>
    </row>
    <row r="9" spans="1:2" x14ac:dyDescent="0.3">
      <c r="A9" s="22" t="s">
        <v>74</v>
      </c>
      <c r="B9" s="22" t="s">
        <v>75</v>
      </c>
    </row>
    <row r="10" spans="1:2" x14ac:dyDescent="0.3">
      <c r="A10" s="22" t="s">
        <v>76</v>
      </c>
      <c r="B10" s="22" t="s">
        <v>77</v>
      </c>
    </row>
    <row r="11" spans="1:2" x14ac:dyDescent="0.3">
      <c r="A11" s="22" t="s">
        <v>78</v>
      </c>
      <c r="B11" s="22" t="s">
        <v>79</v>
      </c>
    </row>
    <row r="12" spans="1:2" x14ac:dyDescent="0.3">
      <c r="A12" s="22" t="s">
        <v>80</v>
      </c>
      <c r="B12" s="22" t="s">
        <v>81</v>
      </c>
    </row>
    <row r="13" spans="1:2" x14ac:dyDescent="0.3">
      <c r="A13" s="22"/>
      <c r="B13" s="22"/>
    </row>
    <row r="14" spans="1:2" ht="27.75" x14ac:dyDescent="0.3">
      <c r="A14" s="22" t="s">
        <v>82</v>
      </c>
      <c r="B14" s="22"/>
    </row>
  </sheetData>
  <phoneticPr fontId="12" type="noConversion"/>
  <pageMargins left="0.7" right="0.7" top="0.75" bottom="0.75" header="0.511811023622047" footer="0.511811023622047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요약</vt:lpstr>
      <vt:lpstr>TB21</vt:lpstr>
      <vt:lpstr>시작명령</vt:lpstr>
      <vt:lpstr>제공자</vt:lpstr>
      <vt:lpstr>'TB21'!Print_Area</vt:lpstr>
      <vt:lpstr>시작명령!Print_Area</vt:lpstr>
      <vt:lpstr>요약!Print_Area</vt:lpstr>
      <vt:lpstr>제공자!Print_Area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mixdog-usage-report</dc:title>
  <dc:subject/>
  <dc:creator>Mixdog</dc:creator>
  <dc:description/>
  <cp:lastModifiedBy>재영 박</cp:lastModifiedBy>
  <cp:revision>0</cp:revision>
  <cp:lastPrinted>2026-09-14T09:12:58Z</cp:lastPrinted>
  <dcterms:created xsi:type="dcterms:W3CDTF">2026-09-14T09:00:39Z</dcterms:created>
  <dcterms:modified xsi:type="dcterms:W3CDTF">2026-09-14T09:13:21Z</dcterms:modified>
  <dc:language>ko-KR</dc:language>
</cp:coreProperties>
</file>